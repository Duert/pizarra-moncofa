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wmf" ContentType="image/x-wmf"/>
  <Default Extension="png" ContentType="image/png"/>
  <Default Extension="rels" ContentType="application/vnd.openxmlformats-package.relationships+xml"/>
  <Default Extension="bin" ContentType="application/vnd.openxmlformats-officedocument.oleObject"/>
  <Override PartName="/xl/worksheets/sheet9.xml" ContentType="application/vnd.openxmlformats-officedocument.spreadsheetml.worksheet+xml"/>
  <Override PartName="/xl/worksheets/sheet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34.xml" ContentType="application/vnd.openxmlformats-officedocument.spreadsheetml.worksheet+xml"/>
  <Override PartName="/xl/worksheets/sheet33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2.xml" ContentType="application/vnd.openxmlformats-officedocument.spreadsheetml.worksheet+xml"/>
  <Override PartName="/xl/worksheets/sheet24.xml" ContentType="application/vnd.openxmlformats-officedocument.spreadsheetml.worksheet+xml"/>
  <Override PartName="/xl/worksheets/sheet21.xml" ContentType="application/vnd.openxmlformats-officedocument.spreadsheetml.worksheet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6.xml" ContentType="application/vnd.openxmlformats-officedocument.spreadsheetml.worksheet+xml"/>
  <Override PartName="/xl/worksheets/sheet5.xml" ContentType="application/vnd.openxmlformats-officedocument.spreadsheetml.worksheet+xml"/>
  <Override PartName="/xl/worksheets/sheet27.xml" ContentType="application/vnd.openxmlformats-officedocument.spreadsheetml.worksheet+xml"/>
  <Override PartName="/xl/worksheets/sheet32.xml" ContentType="application/vnd.openxmlformats-officedocument.spreadsheetml.worksheet+xml"/>
  <Override PartName="/xl/worksheets/sheet11.xml" ContentType="application/vnd.openxmlformats-officedocument.spreadsheetml.worksheet+xml"/>
  <Override PartName="/xl/worksheets/sheet23.xml" ContentType="application/vnd.openxmlformats-officedocument.spreadsheetml.worksheet+xml"/>
  <Override PartName="/xl/worksheets/sheet3.xml" ContentType="application/vnd.openxmlformats-officedocument.spreadsheetml.worksheet+xml"/>
  <Override PartName="/xl/worksheets/sheet10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1.xml" ContentType="application/vnd.openxmlformats-officedocument.spreadsheetml.worksheet+xml"/>
  <Override PartName="/xl/worksheets/sheet13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docProps/core.xml" ContentType="application/vnd.openxmlformats-package.core-properties+xml"/>
  <Override PartName="/xl/worksheets/sheet14.xml" ContentType="application/vnd.openxmlformats-officedocument.spreadsheetml.worksheet+xml"/>
  <Override PartName="/docProps/app.xml" ContentType="application/vnd.openxmlformats-officedocument.extended-properties+xml"/>
  <Override PartName="/xl/worksheets/sheet7.xml" ContentType="application/vnd.openxmlformats-officedocument.spreadsheetml.worksheet+xml"/>
  <Override PartName="/xl/worksheets/sheet15.xml" ContentType="application/vnd.openxmlformats-officedocument.spreadsheetml.worksheet+xml"/>
  <Override PartName="/xl/worksheets/sheet28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/>
  </bookViews>
  <sheets>
    <sheet name="Estadísticas Pretemporada _Tabla 1-1" sheetId="1" state="visible" r:id="rId1"/>
    <sheet name="Estadísticas Pretemporada _Goles" sheetId="2" state="visible" r:id="rId2"/>
    <sheet name="Estadísticas Pretemporada _Asistencias" sheetId="3" state="visible" r:id="rId3"/>
    <sheet name="Estadísticas Pretemporada _Pichichi" sheetId="4" state="visible" r:id="rId4"/>
    <sheet name="Estadísticas Pretemporada _Máximo asistente" sheetId="5" state="visible" r:id="rId5"/>
    <sheet name="Estadísticas Pretemporada _Penaltis" sheetId="6" state="visible" r:id="rId6"/>
    <sheet name="Estadísticas Pretemporada _Tabla 1" sheetId="7" state="visible" r:id="rId7"/>
    <sheet name="Estadísticas Pretemporada _Descansos" sheetId="8" state="visible" r:id="rId8"/>
    <sheet name="Jornada 24_Jornada 24 - 8/5/2026 - Artana 2-6 Moncofar" sheetId="9" state="visible" r:id="rId9"/>
    <sheet name="Jornada 25_Jornada 3 - 19/10/2025 - Moncofar  -" sheetId="10" state="visible" r:id="rId10"/>
    <sheet name="Jornada 26_Jornada 3 - 19/10/2025 - Moncofar  -" sheetId="11" state="visible" r:id="rId11"/>
    <sheet name="Jornada 1_Jornada 1 - 19/10/2025 - Lucena del Cid 3-6 Moncofar" sheetId="12" state="visible" r:id="rId12"/>
    <sheet name="Jornada 2_Jornada 2 - 24/10/2025 - Moncofar  - Andiamo" sheetId="13" state="visible" r:id="rId13"/>
    <sheet name="Jornada 3_Jornada 3 - 1/11/2025 - Burriana  2 - 5 Moncofar" sheetId="14" state="visible" r:id="rId14"/>
    <sheet name="Jornada 4_Jornada 4 - 8/11/2025 - Moncofar  - Xilxes" sheetId="15" state="visible" r:id="rId15"/>
    <sheet name="Jornada 5_Jornada 5 - 15/11/2025 - Moncofar  - Soneja" sheetId="16" state="visible" r:id="rId16"/>
    <sheet name="Jornada 6_Jornada 6 - 22/11/2025 - Sorinthule 1-4 Moncofar" sheetId="17" state="visible" r:id="rId17"/>
    <sheet name="Jornada 7_Jornada 7 - 19/10/2025 - Moncofar 0-1 Vilavella" sheetId="18" state="visible" r:id="rId18"/>
    <sheet name="Jornada 8_Jornada 8 - 19/10/2025 - vall de Uxó 1-8 Moncofar" sheetId="19" state="visible" r:id="rId19"/>
    <sheet name="Jornada 9_Jornada 9 - 20/12/2025 - Moncofar  - Altura" sheetId="20" state="visible" r:id="rId20"/>
    <sheet name="Jornada 10_Jornada 10 - 11/1/2026 - Jerica 2-2 Moncofar" sheetId="21" state="visible" r:id="rId21"/>
    <sheet name="Jornada 11_Jornada 11 - 17/1/2026 - Moncofar 3 -2 Artana" sheetId="22" state="visible" r:id="rId22"/>
    <sheet name="Jornada 12_Jornada 12 - 25/1/2026 - Nules 2-6 Moncofar" sheetId="23" state="visible" r:id="rId23"/>
    <sheet name="Jornada 13_Jornada 13 - 31/1/2026 - Moncofar  5-1 Almenara" sheetId="24" state="visible" r:id="rId24"/>
    <sheet name="Jornada 14_Jornada 14 - 7/2/2026 - Moncofar  5-0 Lucena" sheetId="25" state="visible" r:id="rId25"/>
    <sheet name="Jornada 15_Jornada 15 - 18/2/2026 - Andiamo 2-5 Moncofar" sheetId="26" state="visible" r:id="rId26"/>
    <sheet name="Jornada 17_Jornada 17 - 27/2/2026 -  Xilxes 3-6 Moncofar" sheetId="27" state="visible" r:id="rId27"/>
    <sheet name="Jornada 16_Jornada 16 - 21/2/2026 - Moncofar  - Burriana" sheetId="28" state="visible" r:id="rId28"/>
    <sheet name="Jornada 18_Jornada 18 - 21/3/2026 - Soneja 4-7 Moncofar" sheetId="29" state="visible" r:id="rId29"/>
    <sheet name="Jornada 19_Jornada 19 - 28/03/2026 - Moncofar  - Sorinthule" sheetId="30" state="visible" r:id="rId30"/>
    <sheet name="Jornada 20_Jornada 20 - 10/4/2026 - Vilavella 2-2 Moncofar" sheetId="31" state="visible" r:id="rId31"/>
    <sheet name="Jornada 21_Jornada 21 - 19/10/2025 - Moncofar  - Vall de Uxó" sheetId="32" state="visible" r:id="rId32"/>
    <sheet name="Jornada 22_Jornada 22 - 25/4/2026 - Altura 0-4 Moncofar" sheetId="33" state="visible" r:id="rId33"/>
    <sheet name="Jornada 23_Jornada 23 - 2/5/2026 - Moncofar  2-1 Jerica" sheetId="34" state="visible" r:id="rId34"/>
  </sheets>
</workbook>
</file>

<file path=xl/sharedStrings.xml><?xml version="1.0" encoding="utf-8"?>
<sst xmlns="http://schemas.openxmlformats.org/spreadsheetml/2006/main" count="1642" uniqueCount="1642">
  <si>
    <r>
      <rPr>
        <b/>
        <sz val="0"/>
        <color indexed="65"/>
        <rFont val="HelveticaNeue-Bold"/>
      </rPr>
      <t>Número</t>
    </r>
  </si>
  <si>
    <r>
      <rPr>
        <b/>
        <sz val="0"/>
        <color indexed="65"/>
        <rFont val="HelveticaNeue-Bold"/>
      </rPr>
      <t>Nombre</t>
    </r>
  </si>
  <si>
    <r>
      <rPr>
        <b/>
        <sz val="0"/>
        <color indexed="65"/>
        <rFont val="HelveticaNeue-Bold"/>
      </rPr>
      <t xml:space="preserve">Minutos jugados</t>
    </r>
  </si>
  <si>
    <r>
      <rPr>
        <b/>
        <sz val="0"/>
        <color indexed="65"/>
        <rFont val="HelveticaNeue-Bold"/>
      </rPr>
      <t xml:space="preserve">Minutos 1*</t>
    </r>
  </si>
  <si>
    <r>
      <rPr>
        <b/>
        <sz val="0"/>
        <color indexed="65"/>
        <rFont val="HelveticaNeue-Bold"/>
      </rPr>
      <t xml:space="preserve">Minutos 2*</t>
    </r>
  </si>
  <si>
    <r>
      <rPr>
        <b/>
        <sz val="0"/>
        <color indexed="65"/>
        <rFont val="HelveticaNeue-Bold"/>
      </rPr>
      <t xml:space="preserve">Partidos jugados</t>
    </r>
  </si>
  <si>
    <r>
      <rPr>
        <b/>
        <sz val="0"/>
        <color indexed="65"/>
        <rFont val="HelveticaNeue-Bold"/>
      </rPr>
      <t xml:space="preserve">Titularidades 1* parte</t>
    </r>
  </si>
  <si>
    <r>
      <rPr>
        <b/>
        <sz val="0"/>
        <color indexed="65"/>
        <rFont val="HelveticaNeue-Bold"/>
      </rPr>
      <t xml:space="preserve">Suplencias 1* parte</t>
    </r>
  </si>
  <si>
    <r>
      <rPr>
        <b/>
        <sz val="0"/>
        <color indexed="65"/>
        <rFont val="HelveticaNeue-Bold"/>
      </rPr>
      <t xml:space="preserve">Titularidades 2* parte</t>
    </r>
  </si>
  <si>
    <r>
      <rPr>
        <b/>
        <sz val="0"/>
        <color indexed="65"/>
        <rFont val="HelveticaNeue-Bold"/>
      </rPr>
      <t xml:space="preserve">Suplencias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</si>
  <si>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</si>
  <si>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</si>
  <si>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% titularidad 1* parte </t>
    </r>
  </si>
  <si>
    <r>
      <rPr>
        <b/>
        <sz val="0"/>
        <color indexed="64"/>
        <rFont val="HelveticaNeue-Bold"/>
      </rPr>
      <t xml:space="preserve">% Suplencia 1* parte</t>
    </r>
  </si>
  <si>
    <r>
      <rPr>
        <b/>
        <sz val="0"/>
        <color indexed="64"/>
        <rFont val="HelveticaNeue-Bold"/>
      </rPr>
      <t xml:space="preserve">% titularidad 2* parte</t>
    </r>
  </si>
  <si>
    <r>
      <rPr>
        <b/>
        <sz val="0"/>
        <color indexed="64"/>
        <rFont val="HelveticaNeue-Bold"/>
      </rPr>
      <t xml:space="preserve">% Suplencia 2* parte</t>
    </r>
  </si>
  <si>
    <r>
      <rPr>
        <b/>
        <sz val="0"/>
        <color indexed="64"/>
        <rFont val="HelveticaNeue-Bold"/>
      </rPr>
      <t xml:space="preserve">Goles x minuto</t>
    </r>
  </si>
  <si>
    <r>
      <rPr>
        <b/>
        <sz val="0"/>
        <color indexed="64"/>
        <rFont val="HelveticaNeue-Bold"/>
      </rPr>
      <t xml:space="preserve">Promedio minutos</t>
    </r>
  </si>
  <si>
    <r>
      <rPr>
        <b/>
        <sz val="0"/>
        <color indexed="64"/>
        <rFont val="HelveticaNeue-Bold"/>
      </rPr>
      <t xml:space="preserve">Promedio min 1*</t>
    </r>
  </si>
  <si>
    <r>
      <rPr>
        <b/>
        <sz val="0"/>
        <color indexed="64"/>
        <rFont val="HelveticaNeue-Bold"/>
      </rPr>
      <t xml:space="preserve">Promedio min 2*</t>
    </r>
  </si>
  <si>
    <r>
      <rPr>
        <b/>
        <sz val="0"/>
        <color indexed="64"/>
        <rFont val="HelveticaNeue-Bold"/>
      </rPr>
      <t xml:space="preserve">Promedio goles</t>
    </r>
  </si>
  <si>
    <r>
      <rPr>
        <b/>
        <sz val="0"/>
        <color indexed="64"/>
        <rFont val="HelveticaNeue-Bold"/>
      </rPr>
      <t xml:space="preserve">Asistencias x minuto</t>
    </r>
  </si>
  <si>
    <r>
      <rPr>
        <b/>
        <sz val="0"/>
        <color indexed="64"/>
        <rFont val="HelveticaNeue-Bold"/>
      </rPr>
      <t xml:space="preserve">Promedio asistencias</t>
    </r>
  </si>
  <si>
    <r>
      <rPr>
        <b/>
        <sz val="0"/>
        <color indexed="64"/>
        <rFont val="HelveticaNeue-Bold"/>
      </rPr>
      <t xml:space="preserve">Total goles</t>
    </r>
  </si>
  <si>
    <r>
      <rPr>
        <b/>
        <sz val="0"/>
        <color indexed="64"/>
        <rFont val="HelveticaNeue-Bold"/>
      </rPr>
      <t xml:space="preserve">Goles encajados</t>
    </r>
  </si>
  <si>
    <r>
      <rPr>
        <b/>
        <sz val="0"/>
        <color indexed="64"/>
        <rFont val="HelveticaNeue-Bold"/>
      </rPr>
      <t>Jorge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</si>
  <si>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</si>
  <si>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4"/>
        <rFont val="HelveticaNeue-Bold"/>
      </rPr>
      <t>Jorge</t>
    </r>
  </si>
  <si>
    <r>
      <rPr>
        <b/>
        <sz val="0"/>
        <color indexed="64"/>
        <rFont val="HelveticaNeue-Bold"/>
      </rPr>
      <t>Gabriel</t>
    </r>
  </si>
  <si>
    <r>
      <rPr>
        <sz val="0"/>
        <color indexed="65"/>
        <rFont val="HelveticaNeue"/>
      </rPr>
      <t xml:space="preserve">Diferencias de goles</t>
    </r>
  </si>
  <si>
    <r>
      <rPr>
        <b/>
        <sz val="0"/>
        <color indexed="64"/>
        <rFont val="HelveticaNeue-Bold"/>
      </rPr>
      <t>Héctor</t>
    </r>
  </si>
  <si>
    <r>
      <rPr>
        <b/>
        <sz val="0"/>
        <color indexed="64"/>
        <rFont val="HelveticaNeue-Bold"/>
      </rPr>
      <t xml:space="preserve">Nicolás </t>
    </r>
  </si>
  <si>
    <r>
      <rPr>
        <sz val="0"/>
        <color indexed="65"/>
        <rFont val="HelveticaNeue"/>
      </rPr>
      <t xml:space="preserve">Goles contrario p.p.</t>
    </r>
  </si>
  <si>
    <r>
      <rPr>
        <b/>
        <sz val="0"/>
        <color indexed="64"/>
        <rFont val="HelveticaNeue-Bold"/>
      </rPr>
      <t>Hugo</t>
    </r>
  </si>
  <si>
    <r>
      <rPr>
        <b/>
        <sz val="0"/>
        <color indexed="64"/>
        <rFont val="HelveticaNeue-Bold"/>
      </rPr>
      <t>Leon</t>
    </r>
  </si>
  <si>
    <r>
      <rPr>
        <sz val="0"/>
        <color indexed="64"/>
        <rFont val="HelveticaNeue"/>
      </rPr>
      <t xml:space="preserve">Promedio Goles/Partido</t>
    </r>
  </si>
  <si>
    <r>
      <rPr>
        <b/>
        <sz val="0"/>
        <color indexed="64"/>
        <rFont val="HelveticaNeue-Bold"/>
      </rPr>
      <t>Ruben</t>
    </r>
  </si>
  <si>
    <r>
      <rPr>
        <b/>
        <sz val="0"/>
        <color indexed="64"/>
        <rFont val="HelveticaNeue-Bold"/>
      </rPr>
      <t>Marc</t>
    </r>
  </si>
  <si>
    <r>
      <rPr>
        <sz val="0"/>
        <color indexed="64"/>
        <rFont val="HelveticaNeue"/>
      </rPr>
      <t xml:space="preserve">Partidos jugados</t>
    </r>
  </si>
  <si>
    <r>
      <rPr>
        <b/>
        <sz val="0"/>
        <color indexed="64"/>
        <rFont val="HelveticaNeue-Bold"/>
      </rPr>
      <t>Angel</t>
    </r>
  </si>
  <si>
    <r>
      <rPr>
        <b/>
        <sz val="0"/>
        <color indexed="64"/>
        <rFont val="HelveticaNeue-Bold"/>
      </rPr>
      <t>Martin</t>
    </r>
  </si>
  <si>
    <r>
      <rPr>
        <sz val="0"/>
        <color indexed="64"/>
        <rFont val="HelveticaNeue"/>
      </rPr>
      <t xml:space="preserve">Penaltis a favor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</si>
  <si>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</si>
  <si>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4"/>
        <rFont val="HelveticaNeue-Bold"/>
      </rPr>
      <t>Alex</t>
    </r>
  </si>
  <si>
    <r>
      <rPr>
        <sz val="0"/>
        <color indexed="64"/>
        <rFont val="HelveticaNeue"/>
      </rPr>
      <t xml:space="preserve">Penaltis en contra</t>
    </r>
  </si>
  <si>
    <r>
      <rPr>
        <b/>
        <sz val="0"/>
        <color indexed="64"/>
        <rFont val="HelveticaNeue-Bold"/>
      </rPr>
      <t>Moises</t>
    </r>
  </si>
  <si>
    <r>
      <rPr>
        <b/>
        <sz val="0"/>
        <color indexed="64"/>
        <rFont val="HelveticaNeue-Bold"/>
      </rPr>
      <t>Imram</t>
    </r>
  </si>
  <si>
    <r>
      <rPr>
        <b/>
        <sz val="0"/>
        <color indexed="64"/>
        <rFont val="HelveticaNeue-Bold"/>
      </rPr>
      <t>Collado</t>
    </r>
  </si>
  <si>
    <r>
      <rPr>
        <sz val="0"/>
        <color indexed="64"/>
        <rFont val="HelveticaNeue"/>
      </rPr>
      <t xml:space="preserve">Promedio Goles Recibidos</t>
    </r>
  </si>
  <si>
    <r>
      <rPr>
        <b/>
        <sz val="0"/>
        <color indexed="64"/>
        <rFont val="HelveticaNeue-Bold"/>
      </rPr>
      <t>Carlos</t>
    </r>
  </si>
  <si>
    <r>
      <rPr>
        <b/>
        <sz val="0"/>
        <color indexed="64"/>
        <rFont val="HelveticaNeue-Bold"/>
      </rPr>
      <t xml:space="preserve">Cont. P.P.</t>
    </r>
  </si>
  <si>
    <r>
      <rPr>
        <b/>
        <sz val="0"/>
        <color indexed="64"/>
        <rFont val="HelveticaNeue-Bold"/>
      </rPr>
      <t>Total</t>
    </r>
  </si>
  <si>
    <r>
      <rPr>
        <b/>
        <sz val="0"/>
        <color indexed="64"/>
        <rFont val="HelveticaNeue-Bold"/>
      </rPr>
      <t>Total</t>
    </r>
  </si>
  <si>
    <r>
      <rPr>
        <sz val="0"/>
        <color indexed="64"/>
        <rFont val="HelveticaNeue"/>
      </rPr>
      <t xml:space="preserve">N Gol</t>
    </r>
  </si>
  <si>
    <r>
      <rPr>
        <sz val="0"/>
        <color indexed="65"/>
        <rFont val="HelveticaNeue"/>
      </rPr>
      <t>Jugador</t>
    </r>
  </si>
  <si>
    <r>
      <rPr>
        <sz val="0"/>
        <color indexed="64"/>
        <rFont val="HelveticaNeue"/>
      </rPr>
      <t>Jornada</t>
    </r>
  </si>
  <si>
    <r>
      <rPr>
        <sz val="0"/>
        <color indexed="64"/>
        <rFont val="HelveticaNeue"/>
      </rPr>
      <t>Minuto</t>
    </r>
  </si>
  <si>
    <r>
      <rPr>
        <sz val="0"/>
        <color indexed="64"/>
        <rFont val="HelveticaNeue"/>
      </rPr>
      <t>Tiempo</t>
    </r>
  </si>
  <si>
    <r>
      <rPr>
        <b/>
        <sz val="0"/>
        <color indexed="64"/>
        <rFont val="HelveticaNeue"/>
      </rPr>
      <t xml:space="preserve">Collado 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</si>
  <si>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</si>
  <si>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</si>
  <si>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</si>
  <si>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</si>
  <si>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</si>
  <si>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</si>
  <si>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</si>
  <si>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</si>
  <si>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</si>
  <si>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</si>
  <si>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</si>
  <si>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</si>
  <si>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</si>
  <si>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</si>
  <si>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</si>
  <si>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</si>
  <si>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</si>
  <si>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</si>
  <si>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</si>
  <si>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</si>
  <si>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</si>
  <si>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</si>
  <si>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</si>
  <si>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</si>
  <si>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</si>
  <si>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</si>
  <si>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</si>
  <si>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</si>
  <si>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</si>
  <si>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</si>
  <si>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</si>
  <si>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</si>
  <si>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</si>
  <si>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</si>
  <si>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</si>
  <si>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</si>
  <si>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</si>
  <si>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</si>
  <si>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Hugo (P)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</si>
  <si>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</si>
  <si>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</si>
  <si>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</si>
  <si>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</si>
  <si>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</si>
  <si>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</si>
  <si>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</si>
  <si>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</si>
  <si>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</si>
  <si>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</si>
  <si>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</si>
  <si>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</si>
  <si>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</si>
  <si>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</si>
  <si>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</si>
  <si>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</si>
  <si>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</si>
  <si>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</si>
  <si>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</si>
  <si>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</si>
  <si>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Moises</t>
    </r>
  </si>
  <si>
    <r>
      <rPr>
        <b/>
        <sz val="0"/>
        <color indexed="64"/>
        <rFont val="HelveticaNeue"/>
      </rPr>
      <t>J4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</si>
  <si>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</si>
  <si>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Héctor</t>
    </r>
  </si>
  <si>
    <r>
      <rPr>
        <b/>
        <sz val="0"/>
        <color indexed="64"/>
        <rFont val="HelveticaNeue"/>
      </rPr>
      <t>J4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</si>
  <si>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</si>
  <si>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</si>
  <si>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</si>
  <si>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</si>
  <si>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</si>
  <si>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</si>
  <si>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</si>
  <si>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</si>
  <si>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</si>
  <si>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</si>
  <si>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Collado 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</si>
  <si>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</si>
  <si>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</si>
  <si>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</si>
  <si>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</si>
  <si>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</si>
  <si>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</si>
  <si>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</si>
  <si>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</si>
  <si>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</si>
  <si>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</si>
  <si>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</si>
  <si>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</si>
  <si>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</si>
  <si>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</si>
  <si>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</si>
  <si>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</si>
  <si>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</si>
  <si>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</si>
  <si>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</si>
  <si>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</si>
  <si>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</si>
  <si>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</si>
  <si>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</si>
  <si>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</si>
  <si>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</si>
  <si>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</si>
  <si>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</si>
  <si>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</si>
  <si>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</si>
  <si>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</si>
  <si>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</si>
  <si>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</si>
  <si>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Héctor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</si>
  <si>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</si>
  <si>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</si>
  <si>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</si>
  <si>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</si>
  <si>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</si>
  <si>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</si>
  <si>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</si>
  <si>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</si>
  <si>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Angel 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</si>
  <si>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</si>
  <si>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</si>
  <si>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</si>
  <si>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</si>
  <si>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</si>
  <si>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Moises (P)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</si>
  <si>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</si>
  <si>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</si>
  <si>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</si>
  <si>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</si>
  <si>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</si>
  <si>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</si>
  <si>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</si>
  <si>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</si>
  <si>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</si>
  <si>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</si>
  <si>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</si>
  <si>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</si>
  <si>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</si>
  <si>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</si>
  <si>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</si>
  <si>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</si>
  <si>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</si>
  <si>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</si>
  <si>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</si>
  <si>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</si>
  <si>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</si>
  <si>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J10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</si>
  <si>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</si>
  <si>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</si>
  <si>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J10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</si>
  <si>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</si>
  <si>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Héctor</t>
    </r>
  </si>
  <si>
    <r>
      <rPr>
        <b/>
        <sz val="0"/>
        <color indexed="64"/>
        <rFont val="HelveticaNeue"/>
      </rPr>
      <t>J11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</si>
  <si>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</si>
  <si>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</si>
  <si>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</si>
  <si>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</si>
  <si>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</si>
  <si>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</si>
  <si>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</si>
  <si>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</si>
  <si>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</si>
  <si>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</si>
  <si>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</si>
  <si>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</si>
  <si>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</si>
  <si>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</si>
  <si>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</si>
  <si>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</si>
  <si>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</si>
  <si>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</si>
  <si>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</si>
  <si>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</si>
  <si>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</si>
  <si>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</si>
  <si>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</si>
  <si>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</si>
  <si>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</si>
  <si>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</si>
  <si>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</si>
  <si>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</si>
  <si>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</si>
  <si>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</si>
  <si>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</si>
  <si>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</si>
  <si>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</si>
  <si>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</si>
  <si>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Leon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</si>
  <si>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</si>
  <si>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</si>
  <si>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</si>
  <si>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</si>
  <si>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</si>
  <si>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Héctor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</si>
  <si>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</si>
  <si>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</si>
  <si>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</si>
  <si>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</si>
  <si>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</si>
  <si>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</si>
  <si>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</si>
  <si>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</si>
  <si>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</si>
  <si>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</si>
  <si>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</si>
  <si>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</si>
  <si>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</si>
  <si>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</si>
  <si>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</si>
  <si>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</si>
  <si>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</si>
  <si>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</si>
  <si>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</si>
  <si>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</si>
  <si>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Gabriel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</si>
  <si>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</si>
  <si>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</si>
  <si>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</si>
  <si>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</si>
  <si>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</si>
  <si>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</si>
  <si>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</si>
  <si>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</si>
  <si>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Propia puerta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</si>
  <si>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</si>
  <si>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</si>
  <si>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</si>
  <si>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</si>
  <si>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</si>
  <si>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</si>
  <si>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</si>
  <si>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</si>
  <si>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Gabriel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</si>
  <si>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</si>
  <si>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</si>
  <si>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</si>
  <si>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</si>
  <si>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</si>
  <si>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</si>
  <si>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</si>
  <si>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</si>
  <si>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</si>
  <si>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</si>
  <si>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</si>
  <si>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</si>
  <si>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</si>
  <si>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</si>
  <si>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</si>
  <si>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</si>
  <si>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</si>
  <si>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</si>
  <si>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</si>
  <si>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</si>
  <si>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</si>
  <si>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</si>
  <si>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</si>
  <si>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</si>
  <si>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</si>
  <si>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</si>
  <si>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</si>
  <si>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</si>
  <si>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</si>
  <si>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</si>
  <si>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</si>
  <si>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</si>
  <si>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</si>
  <si>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</si>
  <si>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</si>
  <si>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Alex 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</si>
  <si>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</si>
  <si>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</si>
  <si>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Alex 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</si>
  <si>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</si>
  <si>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</si>
  <si>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Angel 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</si>
  <si>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</si>
  <si>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</si>
  <si>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</si>
  <si>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</si>
  <si>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</si>
  <si>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</si>
  <si>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J19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</si>
  <si>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</si>
  <si>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</si>
  <si>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J19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</si>
  <si>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</si>
  <si>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</si>
  <si>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J19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</si>
  <si>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</si>
  <si>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 xml:space="preserve">Angel </t>
    </r>
  </si>
  <si>
    <r>
      <rPr>
        <b/>
        <sz val="0"/>
        <color indexed="64"/>
        <rFont val="HelveticaNeue"/>
      </rPr>
      <t>J20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</si>
  <si>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</si>
  <si>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</si>
  <si>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J20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</si>
  <si>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</si>
  <si>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</si>
  <si>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</si>
  <si>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</si>
  <si>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</si>
  <si>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</si>
  <si>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</si>
  <si>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</si>
  <si>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</si>
  <si>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</si>
  <si>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</si>
  <si>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</si>
  <si>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</si>
  <si>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</si>
  <si>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</si>
  <si>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</si>
  <si>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</si>
  <si>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J22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</si>
  <si>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</si>
  <si>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</si>
  <si>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</si>
  <si>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</si>
  <si>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</si>
  <si>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</si>
  <si>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</si>
  <si>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</si>
  <si>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J22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</si>
  <si>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</si>
  <si>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Carlos (Penalti)</t>
    </r>
  </si>
  <si>
    <r>
      <rPr>
        <b/>
        <sz val="0"/>
        <color indexed="64"/>
        <rFont val="HelveticaNeue"/>
      </rPr>
      <t>J23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</si>
  <si>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</si>
  <si>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</si>
  <si>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</si>
  <si>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</si>
  <si>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</si>
  <si>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</si>
  <si>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</si>
  <si>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</si>
  <si>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</si>
  <si>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</si>
  <si>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</si>
  <si>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</si>
  <si>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</si>
  <si>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</si>
  <si>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</si>
  <si>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</si>
  <si>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Gabriel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</si>
  <si>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</si>
  <si>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</si>
  <si>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</si>
  <si>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</si>
  <si>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2T</t>
    </r>
  </si>
  <si>
    <r>
      <rPr>
        <sz val="0"/>
        <color indexed="64"/>
        <rFont val="HelveticaNeue"/>
      </rPr>
      <t xml:space="preserve">N asis</t>
    </r>
  </si>
  <si>
    <r>
      <rPr>
        <sz val="0"/>
        <color indexed="65"/>
        <rFont val="HelveticaNeue"/>
      </rPr>
      <t>Jugador</t>
    </r>
  </si>
  <si>
    <r>
      <rPr>
        <sz val="0"/>
        <color indexed="64"/>
        <rFont val="HelveticaNeue"/>
      </rPr>
      <t>Jornada</t>
    </r>
  </si>
  <si>
    <r>
      <rPr>
        <sz val="0"/>
        <color indexed="64"/>
        <rFont val="HelveticaNeue"/>
      </rPr>
      <t>Minuto</t>
    </r>
  </si>
  <si>
    <r>
      <rPr>
        <sz val="0"/>
        <color indexed="64"/>
        <rFont val="HelveticaNeue"/>
      </rPr>
      <t>Tiempo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</si>
  <si>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</si>
  <si>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</si>
  <si>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</si>
  <si>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</si>
  <si>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</si>
  <si>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</si>
  <si>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</si>
  <si>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</si>
  <si>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</si>
  <si>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Collado</t>
    </r>
  </si>
  <si>
    <r>
      <rPr>
        <b/>
        <sz val="0"/>
        <color indexed="64"/>
        <rFont val="HelveticaNeue"/>
      </rPr>
      <t>J2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</si>
  <si>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</si>
  <si>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</si>
  <si>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J3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</si>
  <si>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</si>
  <si>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</si>
  <si>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</si>
  <si>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</si>
  <si>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</si>
  <si>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</si>
  <si>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</si>
  <si>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</si>
  <si>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</si>
  <si>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</si>
  <si>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</si>
  <si>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</si>
  <si>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</si>
  <si>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</si>
  <si>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</si>
  <si>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</si>
  <si>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</si>
  <si>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</si>
  <si>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</si>
  <si>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Martin</t>
    </r>
  </si>
  <si>
    <r>
      <rPr>
        <b/>
        <sz val="0"/>
        <color indexed="64"/>
        <rFont val="HelveticaNeue"/>
      </rPr>
      <t>J6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</si>
  <si>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</si>
  <si>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</si>
  <si>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J8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</si>
  <si>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</si>
  <si>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</si>
  <si>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</si>
  <si>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</si>
  <si>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</si>
  <si>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J9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</si>
  <si>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</si>
  <si>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</si>
  <si>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J10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</si>
  <si>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</si>
  <si>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</si>
  <si>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J12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</si>
  <si>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</si>
  <si>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</si>
  <si>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</si>
  <si>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</si>
  <si>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Angel</t>
    </r>
  </si>
  <si>
    <r>
      <rPr>
        <b/>
        <sz val="0"/>
        <color indexed="64"/>
        <rFont val="HelveticaNeue"/>
      </rPr>
      <t>J13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</si>
  <si>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</si>
  <si>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</si>
  <si>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J14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</si>
  <si>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</si>
  <si>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</si>
  <si>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</si>
  <si>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</si>
  <si>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</si>
  <si>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</si>
  <si>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</si>
  <si>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Ruben</t>
    </r>
  </si>
  <si>
    <r>
      <rPr>
        <b/>
        <sz val="0"/>
        <color indexed="64"/>
        <rFont val="HelveticaNeue"/>
      </rPr>
      <t>J15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</si>
  <si>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</si>
  <si>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Marc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</si>
  <si>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</si>
  <si>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</si>
  <si>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Angel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</si>
  <si>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</si>
  <si>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</si>
  <si>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Nicolás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</si>
  <si>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</si>
  <si>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</si>
  <si>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Gabriel</t>
    </r>
  </si>
  <si>
    <r>
      <rPr>
        <b/>
        <sz val="0"/>
        <color indexed="64"/>
        <rFont val="HelveticaNeue"/>
      </rPr>
      <t>J16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</si>
  <si>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</si>
  <si>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</si>
  <si>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</si>
  <si>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</si>
  <si>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 xml:space="preserve">Héctor 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</si>
  <si>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</si>
  <si>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</si>
  <si>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Hugo</t>
    </r>
  </si>
  <si>
    <r>
      <rPr>
        <b/>
        <sz val="0"/>
        <color indexed="64"/>
        <rFont val="HelveticaNeue"/>
      </rPr>
      <t>J17</t>
    </r>
  </si>
  <si>
    <r>
      <rPr>
        <b/>
        <sz val="0"/>
        <color indexed="64"/>
        <rFont val="HelveticaNeue"/>
      </rPr>
      <t>2T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</si>
  <si>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</si>
  <si>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J19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</si>
  <si>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</si>
  <si>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Alex</t>
    </r>
  </si>
  <si>
    <r>
      <rPr>
        <b/>
        <sz val="0"/>
        <color indexed="64"/>
        <rFont val="HelveticaNeue"/>
      </rPr>
      <t>J21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</si>
  <si>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</si>
  <si>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4"/>
        <rFont val="HelveticaNeue"/>
      </rPr>
      <t>Imram</t>
    </r>
  </si>
  <si>
    <r>
      <rPr>
        <b/>
        <sz val="0"/>
        <color indexed="64"/>
        <rFont val="HelveticaNeue"/>
      </rPr>
      <t>J24</t>
    </r>
  </si>
  <si>
    <r>
      <rPr>
        <b/>
        <sz val="0"/>
        <color indexed="64"/>
        <rFont val="HelveticaNeue"/>
      </rPr>
      <t>1T</t>
    </r>
  </si>
  <si>
    <r>
      <rPr>
        <b/>
        <sz val="0"/>
        <color indexed="65"/>
        <rFont val="HelveticaNeue-Bold"/>
      </rPr>
      <t>Nombre</t>
    </r>
  </si>
  <si>
    <r>
      <rPr>
        <b/>
        <sz val="0"/>
        <color indexed="65"/>
        <rFont val="HelveticaNeue-Bold"/>
      </rPr>
      <t>Goles</t>
    </r>
  </si>
  <si>
    <r>
      <rPr>
        <b/>
        <sz val="0"/>
        <color indexed="64"/>
        <rFont val="HelveticaNeue-Bold"/>
      </rPr>
      <t>Marc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</si>
  <si>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</si>
  <si>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-Bold"/>
      </rPr>
      <t>Hugo</t>
    </r>
  </si>
  <si>
    <r>
      <rPr>
        <b/>
        <sz val="0"/>
        <color indexed="64"/>
        <rFont val="HelveticaNeue-Bold"/>
      </rPr>
      <t>Ruben</t>
    </r>
  </si>
  <si>
    <r>
      <rPr>
        <b/>
        <sz val="0"/>
        <color indexed="64"/>
        <rFont val="HelveticaNeue-Bold"/>
      </rPr>
      <t>Alex</t>
    </r>
  </si>
  <si>
    <r>
      <rPr>
        <b/>
        <sz val="0"/>
        <color indexed="64"/>
        <rFont val="HelveticaNeue-Bold"/>
      </rPr>
      <t>Imram</t>
    </r>
  </si>
  <si>
    <r>
      <rPr>
        <b/>
        <sz val="0"/>
        <color indexed="64"/>
        <rFont val="HelveticaNeue-Bold"/>
      </rPr>
      <t>Héctor</t>
    </r>
  </si>
  <si>
    <r>
      <rPr>
        <b/>
        <sz val="0"/>
        <color indexed="64"/>
        <rFont val="HelveticaNeue-Bold"/>
      </rPr>
      <t>Angel</t>
    </r>
  </si>
  <si>
    <r>
      <rPr>
        <b/>
        <sz val="0"/>
        <color indexed="64"/>
        <rFont val="HelveticaNeue-Bold"/>
      </rPr>
      <t>Gabriel</t>
    </r>
  </si>
  <si>
    <r>
      <rPr>
        <b/>
        <sz val="0"/>
        <color indexed="64"/>
        <rFont val="HelveticaNeue-Bold"/>
      </rPr>
      <t>Collado</t>
    </r>
  </si>
  <si>
    <r>
      <rPr>
        <b/>
        <sz val="0"/>
        <color indexed="64"/>
        <rFont val="HelveticaNeue-Bold"/>
      </rPr>
      <t>Moises</t>
    </r>
  </si>
  <si>
    <r>
      <rPr>
        <b/>
        <sz val="0"/>
        <color indexed="64"/>
        <rFont val="HelveticaNeue-Bold"/>
      </rPr>
      <t>Leon</t>
    </r>
  </si>
  <si>
    <r>
      <rPr>
        <b/>
        <sz val="0"/>
        <color indexed="64"/>
        <rFont val="HelveticaNeue"/>
      </rPr>
      <t>Jorge</t>
    </r>
  </si>
  <si>
    <r>
      <rPr>
        <b/>
        <sz val="0"/>
        <color indexed="64"/>
        <rFont val="HelveticaNeue-Bold"/>
      </rPr>
      <t xml:space="preserve">Nicolás </t>
    </r>
  </si>
  <si>
    <r>
      <rPr>
        <b/>
        <sz val="0"/>
        <color indexed="64"/>
        <rFont val="HelveticaNeue-Bold"/>
      </rPr>
      <t>Martin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</si>
  <si>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</si>
  <si>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5"/>
        <rFont val="HelveticaNeue-Bold"/>
      </rPr>
      <t>Nombre</t>
    </r>
  </si>
  <si>
    <r>
      <rPr>
        <b/>
        <sz val="0"/>
        <color indexed="65"/>
        <rFont val="HelveticaNeue-Bold"/>
      </rPr>
      <t xml:space="preserve">Asistencias 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</si>
  <si>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</si>
  <si>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-Bold"/>
      </rPr>
      <t>Hugo</t>
    </r>
  </si>
  <si>
    <r>
      <rPr>
        <b/>
        <sz val="0"/>
        <color indexed="64"/>
        <rFont val="HelveticaNeue-Bold"/>
      </rPr>
      <t>Alex</t>
    </r>
  </si>
  <si>
    <r>
      <rPr>
        <b/>
        <sz val="0"/>
        <color indexed="64"/>
        <rFont val="HelveticaNeue-Bold"/>
      </rPr>
      <t>Ruben</t>
    </r>
  </si>
  <si>
    <r>
      <rPr>
        <b/>
        <sz val="0"/>
        <color indexed="64"/>
        <rFont val="HelveticaNeue-Bold"/>
      </rPr>
      <t>Angel</t>
    </r>
  </si>
  <si>
    <r>
      <rPr>
        <b/>
        <sz val="0"/>
        <color indexed="64"/>
        <rFont val="HelveticaNeue-Bold"/>
      </rPr>
      <t>Gabriel</t>
    </r>
  </si>
  <si>
    <r>
      <rPr>
        <b/>
        <sz val="0"/>
        <color indexed="64"/>
        <rFont val="HelveticaNeue-Bold"/>
      </rPr>
      <t>Collado</t>
    </r>
  </si>
  <si>
    <r>
      <rPr>
        <b/>
        <sz val="0"/>
        <color indexed="64"/>
        <rFont val="HelveticaNeue-Bold"/>
      </rPr>
      <t>Martin</t>
    </r>
  </si>
  <si>
    <r>
      <rPr>
        <b/>
        <sz val="0"/>
        <color indexed="64"/>
        <rFont val="HelveticaNeue-Bold"/>
      </rPr>
      <t>Marc</t>
    </r>
  </si>
  <si>
    <r>
      <rPr>
        <b/>
        <sz val="0"/>
        <color indexed="64"/>
        <rFont val="HelveticaNeue-Bold"/>
      </rPr>
      <t xml:space="preserve">Nicolás </t>
    </r>
  </si>
  <si>
    <r>
      <rPr>
        <b/>
        <sz val="0"/>
        <color indexed="64"/>
        <rFont val="HelveticaNeue-Bold"/>
      </rPr>
      <t>Héctor</t>
    </r>
  </si>
  <si>
    <r>
      <rPr>
        <b/>
        <sz val="0"/>
        <color indexed="64"/>
        <rFont val="HelveticaNeue"/>
      </rPr>
      <t>Jorge</t>
    </r>
  </si>
  <si>
    <r>
      <rPr>
        <b/>
        <sz val="0"/>
        <color indexed="64"/>
        <rFont val="HelveticaNeue-Bold"/>
      </rPr>
      <t>Leon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</si>
  <si>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</si>
  <si>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4"/>
        <rFont val="HelveticaNeue-Bold"/>
      </rPr>
      <t>Moises</t>
    </r>
  </si>
  <si>
    <r>
      <rPr>
        <b/>
        <sz val="0"/>
        <color indexed="64"/>
        <rFont val="HelveticaNeue-Bold"/>
      </rPr>
      <t>Imram</t>
    </r>
  </si>
  <si>
    <r>
      <rPr>
        <b/>
        <sz val="0"/>
        <color indexed="65"/>
        <rFont val="HelveticaNeue-Bold"/>
      </rPr>
      <t>Nombre</t>
    </r>
  </si>
  <si>
    <r>
      <rPr>
        <b/>
        <sz val="0"/>
        <color indexed="65"/>
        <rFont val="HelveticaNeue-Bold"/>
      </rPr>
      <t>Goles</t>
    </r>
  </si>
  <si>
    <r>
      <rPr>
        <b/>
        <sz val="0"/>
        <color indexed="65"/>
        <rFont val="HelveticaNeue-Bold"/>
      </rPr>
      <t>Fallados</t>
    </r>
  </si>
  <si>
    <r>
      <rPr>
        <b/>
        <sz val="0"/>
        <color indexed="64"/>
        <rFont val="HelveticaNeue-Bold"/>
      </rPr>
      <t>Hugo</t>
    </r>
  </si>
  <si>
    <r>
      <rPr>
        <b/>
        <sz val="0"/>
        <color indexed="64"/>
        <rFont val="HelveticaNeue-Bold"/>
      </rPr>
      <t>Moises</t>
    </r>
  </si>
  <si>
    <r>
      <rPr>
        <b/>
        <sz val="0"/>
        <color indexed="64"/>
        <rFont val="HelveticaNeue"/>
      </rPr>
      <t>Carlos</t>
    </r>
  </si>
  <si>
    <r>
      <rPr>
        <b/>
        <sz val="0"/>
        <color indexed="64"/>
        <rFont val="HelveticaNeue-Bold"/>
      </rPr>
      <t>Ruben</t>
    </r>
  </si>
  <si>
    <r>
      <rPr>
        <b/>
        <sz val="0"/>
        <color indexed="64"/>
        <rFont val="HelveticaNeue-Bold"/>
      </rPr>
      <t>Marc</t>
    </r>
  </si>
  <si>
    <r>
      <rPr>
        <b/>
        <sz val="0"/>
        <color indexed="64"/>
        <rFont val="HelveticaNeue-Bold"/>
      </rPr>
      <t>Imram</t>
    </r>
  </si>
  <si>
    <r>
      <rPr>
        <b/>
        <sz val="0"/>
        <color indexed="64"/>
        <rFont val="HelveticaNeue-Bold"/>
      </rPr>
      <t>Collado</t>
    </r>
  </si>
  <si>
    <r>
      <rPr>
        <b/>
        <sz val="0"/>
        <color indexed="64"/>
        <rFont val="HelveticaNeue"/>
      </rPr>
      <t>Jorge</t>
    </r>
  </si>
  <si>
    <r>
      <rPr>
        <b/>
        <sz val="0"/>
        <color indexed="64"/>
        <rFont val="HelveticaNeue-Bold"/>
      </rPr>
      <t>Gabriel</t>
    </r>
  </si>
  <si>
    <r>
      <rPr>
        <b/>
        <sz val="0"/>
        <color indexed="64"/>
        <rFont val="HelveticaNeue-Bold"/>
      </rPr>
      <t>Héctor</t>
    </r>
  </si>
  <si>
    <r>
      <rPr>
        <b/>
        <sz val="0"/>
        <color indexed="64"/>
        <rFont val="HelveticaNeue-Bold"/>
      </rPr>
      <t xml:space="preserve">Nicolás </t>
    </r>
  </si>
  <si>
    <r>
      <rPr>
        <b/>
        <sz val="0"/>
        <color indexed="64"/>
        <rFont val="HelveticaNeue-Bold"/>
      </rPr>
      <t>Leon</t>
    </r>
  </si>
  <si>
    <r>
      <rPr>
        <b/>
        <sz val="0"/>
        <color indexed="64"/>
        <rFont val="HelveticaNeue-Bold"/>
      </rPr>
      <t>Angel</t>
    </r>
  </si>
  <si>
    <r>
      <rPr>
        <b/>
        <sz val="0"/>
        <color indexed="64"/>
        <rFont val="HelveticaNeue-Bold"/>
      </rPr>
      <t>Martin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</si>
  <si>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</si>
  <si>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4"/>
        <rFont val="HelveticaNeue-Bold"/>
      </rPr>
      <t>Alex</t>
    </r>
  </si>
  <si>
    <r>
      <rPr>
        <b/>
        <sz val="0"/>
        <color indexed="65"/>
        <rFont val="HelveticaNeue-Bold"/>
      </rPr>
      <t>Número</t>
    </r>
  </si>
  <si>
    <r>
      <rPr>
        <b/>
        <sz val="0"/>
        <color indexed="65"/>
        <rFont val="HelveticaNeue-Bold"/>
      </rPr>
      <t>Nombre</t>
    </r>
  </si>
  <si>
    <r>
      <rPr>
        <b/>
        <sz val="0"/>
        <color indexed="65"/>
        <rFont val="HelveticaNeue-Bold"/>
      </rPr>
      <t xml:space="preserve">Partidos jugados</t>
    </r>
  </si>
  <si>
    <r>
      <rPr>
        <b/>
        <sz val="0"/>
        <color indexed="64"/>
        <rFont val="HelveticaNeue-Bold"/>
      </rPr>
      <t>Hugo</t>
    </r>
  </si>
  <si>
    <r>
      <rPr>
        <b/>
        <sz val="0"/>
        <color indexed="64"/>
        <rFont val="HelveticaNeue-Bold"/>
      </rPr>
      <t>Valentino</t>
    </r>
  </si>
  <si>
    <r>
      <rPr>
        <b/>
        <sz val="0"/>
        <color indexed="64"/>
        <rFont val="HelveticaNeue-Bold"/>
      </rPr>
      <t>Carlos</t>
    </r>
  </si>
  <si>
    <r>
      <rPr>
        <b/>
        <sz val="0"/>
        <color indexed="64"/>
        <rFont val="HelveticaNeue-Bold"/>
      </rPr>
      <t>Alex</t>
    </r>
  </si>
  <si>
    <r>
      <rPr>
        <b/>
        <sz val="0"/>
        <color indexed="64"/>
        <rFont val="HelveticaNeue-Bold"/>
      </rPr>
      <t>Marc</t>
    </r>
  </si>
  <si>
    <r>
      <rPr>
        <b/>
        <sz val="0"/>
        <color indexed="64"/>
        <rFont val="HelveticaNeue-Bold"/>
      </rPr>
      <t>Leon</t>
    </r>
  </si>
  <si>
    <r>
      <rPr>
        <b/>
        <sz val="0"/>
        <color indexed="64"/>
        <rFont val="HelveticaNeue-Bold"/>
      </rPr>
      <t>Ruben</t>
    </r>
  </si>
  <si>
    <r>
      <rPr>
        <b/>
        <sz val="0"/>
        <color indexed="64"/>
        <rFont val="HelveticaNeue-Bold"/>
      </rPr>
      <t>Collado</t>
    </r>
  </si>
  <si>
    <r>
      <rPr>
        <b/>
        <sz val="0"/>
        <color indexed="64"/>
        <rFont val="HelveticaNeue-Bold"/>
      </rPr>
      <t>Angel</t>
    </r>
  </si>
  <si>
    <r>
      <rPr>
        <b/>
        <sz val="0"/>
        <color indexed="64"/>
        <rFont val="HelveticaNeue-Bold"/>
      </rPr>
      <t xml:space="preserve">Nicolás </t>
    </r>
  </si>
  <si>
    <r>
      <rPr>
        <b/>
        <sz val="0"/>
        <color indexed="64"/>
        <rFont val="HelveticaNeue-Bold"/>
      </rPr>
      <t>Héctor</t>
    </r>
  </si>
  <si>
    <r>
      <rPr>
        <b/>
        <sz val="0"/>
        <color indexed="64"/>
        <rFont val="HelveticaNeue-Bold"/>
      </rPr>
      <t>Jorge</t>
    </r>
  </si>
  <si>
    <r>
      <rPr>
        <b/>
        <sz val="0"/>
        <color indexed="64"/>
        <rFont val="HelveticaNeue-Bold"/>
      </rPr>
      <t>Imram</t>
    </r>
  </si>
  <si>
    <r>
      <rPr>
        <b/>
        <sz val="0"/>
        <color indexed="64"/>
        <rFont val="HelveticaNeue-Bold"/>
      </rPr>
      <t>Gabriel</t>
    </r>
  </si>
  <si>
    <r>
      <rPr>
        <b/>
        <sz val="0"/>
        <color indexed="64"/>
        <rFont val="HelveticaNeue-Bold"/>
      </rPr>
      <t>Moises</t>
    </r>
  </si>
  <si>
    <r>
      <rPr>
        <b/>
        <sz val="0"/>
        <color indexed="64"/>
        <rFont val="HelveticaNeue-Bold"/>
      </rPr>
      <t>Martin</t>
    </r>
  </si>
  <si>
    <r>
      <rPr>
        <b/>
        <sz val="0"/>
        <color indexed="64"/>
        <rFont val="HelveticaNeue-Bold"/>
      </rPr>
      <t>Jornada</t>
    </r>
  </si>
  <si>
    <r>
      <rPr>
        <b/>
        <sz val="0"/>
        <color indexed="64"/>
        <rFont val="HelveticaNeue-Bold"/>
      </rPr>
      <t>Partido</t>
    </r>
  </si>
  <si>
    <r>
      <rPr>
        <b/>
        <sz val="0"/>
        <color indexed="64"/>
        <rFont val="HelveticaNeue-Bold"/>
      </rPr>
      <t>Campo</t>
    </r>
  </si>
  <si>
    <r>
      <rPr>
        <b/>
        <sz val="0"/>
        <color indexed="64"/>
        <rFont val="HelveticaNeue-Bold"/>
      </rPr>
      <t xml:space="preserve">Jugador 1</t>
    </r>
  </si>
  <si>
    <r>
      <rPr>
        <b/>
        <sz val="0"/>
        <color indexed="64"/>
        <rFont val="HelveticaNeue-Bold"/>
      </rPr>
      <t xml:space="preserve">Jugador 2</t>
    </r>
  </si>
  <si>
    <r>
      <rPr>
        <b/>
        <sz val="0"/>
        <color indexed="64"/>
        <rFont val="HelveticaNeue-Bold"/>
      </rPr>
      <t xml:space="preserve">Jugador 3</t>
    </r>
  </si>
  <si>
    <r>
      <rPr>
        <b/>
        <sz val="0"/>
        <color indexed="64"/>
        <rFont val="HelveticaNeue-Bold"/>
      </rPr>
      <t xml:space="preserve">Jugador 4</t>
    </r>
  </si>
  <si>
    <r>
      <rPr>
        <b/>
        <sz val="0"/>
        <color indexed="64"/>
        <rFont val="HelveticaNeue-Bold"/>
      </rPr>
      <t>Lucena</t>
    </r>
  </si>
  <si>
    <r>
      <rPr>
        <b/>
        <sz val="0"/>
        <color indexed="64"/>
        <rFont val="HelveticaNeue-Bold"/>
      </rPr>
      <t>Fuera</t>
    </r>
  </si>
  <si>
    <r>
      <rPr>
        <sz val="0"/>
        <color rgb="FFE22300"/>
        <rFont val="HelveticaNeue"/>
      </rPr>
      <t>Valentino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</si>
  <si>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</si>
  <si>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 xml:space="preserve">Imram </t>
    </r>
  </si>
  <si>
    <r>
      <rPr>
        <b/>
        <sz val="0"/>
        <color indexed="64"/>
        <rFont val="HelveticaNeue-Bold"/>
      </rPr>
      <t>Andiamo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</si>
  <si>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</si>
  <si>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</si>
  <si>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Marc</t>
    </r>
  </si>
  <si>
    <r>
      <rPr>
        <b/>
        <sz val="0"/>
        <color indexed="64"/>
        <rFont val="HelveticaNeue-Bold"/>
      </rPr>
      <t>Burriana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</si>
  <si>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</si>
  <si>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 xml:space="preserve">Martin </t>
    </r>
  </si>
  <si>
    <r>
      <rPr>
        <sz val="0"/>
        <color indexed="64"/>
        <rFont val="HelveticaNeue"/>
      </rPr>
      <t>Collado</t>
    </r>
  </si>
  <si>
    <r>
      <rPr>
        <b/>
        <sz val="0"/>
        <color indexed="64"/>
        <rFont val="HelveticaNeue-Bold"/>
      </rPr>
      <t>Xilxes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</si>
  <si>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</si>
  <si>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</si>
  <si>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>Nicolás</t>
    </r>
  </si>
  <si>
    <r>
      <rPr>
        <b/>
        <sz val="0"/>
        <color indexed="64"/>
        <rFont val="HelveticaNeue-Bold"/>
      </rPr>
      <t>Soneja</t>
    </r>
  </si>
  <si>
    <r>
      <rPr>
        <b/>
        <sz val="0"/>
        <color indexed="64"/>
        <rFont val="HelveticaNeue-Bold"/>
      </rPr>
      <t>Fuera</t>
    </r>
  </si>
  <si>
    <r>
      <rPr>
        <sz val="0"/>
        <color rgb="FFE22300"/>
        <rFont val="HelveticaNeue"/>
      </rPr>
      <t xml:space="preserve">Jorge (enfermo)</t>
    </r>
  </si>
  <si>
    <r>
      <rPr>
        <sz val="0"/>
        <color indexed="64"/>
        <rFont val="HelveticaNeue"/>
      </rPr>
      <t>Héctor</t>
    </r>
  </si>
  <si>
    <r>
      <rPr>
        <sz val="0"/>
        <color indexed="64"/>
        <rFont val="HelveticaNeue"/>
      </rPr>
      <t>Alex</t>
    </r>
  </si>
  <si>
    <r>
      <rPr>
        <b/>
        <sz val="0"/>
        <color indexed="64"/>
        <rFont val="HelveticaNeue-Bold"/>
      </rPr>
      <t>Sorinthule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</si>
  <si>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</si>
  <si>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</si>
  <si>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Angel</t>
    </r>
  </si>
  <si>
    <r>
      <rPr>
        <b/>
        <sz val="0"/>
        <color indexed="64"/>
        <rFont val="HelveticaNeue-Bold"/>
      </rPr>
      <t>Vilavella</t>
    </r>
  </si>
  <si>
    <r>
      <rPr>
        <b/>
        <sz val="0"/>
        <color indexed="64"/>
        <rFont val="HelveticaNeue-Bold"/>
      </rPr>
      <t>Casa</t>
    </r>
  </si>
  <si>
    <r>
      <rPr>
        <sz val="0"/>
        <color rgb="FFE22300"/>
        <rFont val="HelveticaNeue"/>
      </rPr>
      <t xml:space="preserve">Martin 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</si>
  <si>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</si>
  <si>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 xml:space="preserve">Imram </t>
    </r>
  </si>
  <si>
    <r>
      <rPr>
        <b/>
        <sz val="0"/>
        <color indexed="64"/>
        <rFont val="HelveticaNeue-Bold"/>
      </rPr>
      <t>UD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</si>
  <si>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</si>
  <si>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</si>
  <si>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>Leon</t>
    </r>
  </si>
  <si>
    <r>
      <rPr>
        <b/>
        <sz val="0"/>
        <color indexed="64"/>
        <rFont val="HelveticaNeue-Bold"/>
      </rPr>
      <t>Altura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</si>
  <si>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</si>
  <si>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Héctor</t>
    </r>
  </si>
  <si>
    <r>
      <rPr>
        <sz val="0"/>
        <color indexed="64"/>
        <rFont val="HelveticaNeue"/>
      </rPr>
      <t>Moises</t>
    </r>
  </si>
  <si>
    <r>
      <rPr>
        <b/>
        <sz val="0"/>
        <color indexed="64"/>
        <rFont val="HelveticaNeue-Bold"/>
      </rPr>
      <t>Jerica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</si>
  <si>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</si>
  <si>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</si>
  <si>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Angel</t>
    </r>
  </si>
  <si>
    <r>
      <rPr>
        <b/>
        <sz val="0"/>
        <color indexed="64"/>
        <rFont val="HelveticaNeue-Bold"/>
      </rPr>
      <t>Artana</t>
    </r>
  </si>
  <si>
    <r>
      <rPr>
        <b/>
        <sz val="0"/>
        <color indexed="64"/>
        <rFont val="HelveticaNeue-Bold"/>
      </rPr>
      <t>Casa</t>
    </r>
  </si>
  <si>
    <r>
      <rPr>
        <sz val="0"/>
        <color rgb="FFE22300"/>
        <rFont val="HelveticaNeue"/>
      </rPr>
      <t>Gabriel</t>
    </r>
  </si>
  <si>
    <r>
      <rPr>
        <sz val="0"/>
        <color rgb="FFE22300"/>
        <rFont val="HelveticaNeue"/>
      </rPr>
      <t xml:space="preserve">Nicolás (enfermo)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</si>
  <si>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</si>
  <si>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</si>
  <si>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4"/>
        <rFont val="HelveticaNeue-Bold"/>
      </rPr>
      <t>Nules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</si>
  <si>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</si>
  <si>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Gabriel</t>
    </r>
  </si>
  <si>
    <r>
      <rPr>
        <sz val="0"/>
        <color rgb="FFE22300"/>
        <rFont val="HelveticaNeue"/>
      </rPr>
      <t xml:space="preserve">Moises (enfermo)</t>
    </r>
  </si>
  <si>
    <r>
      <rPr>
        <sz val="0"/>
        <color indexed="64"/>
        <rFont val="HelveticaNeue"/>
      </rPr>
      <t>Hector</t>
    </r>
  </si>
  <si>
    <r>
      <rPr>
        <b/>
        <sz val="0"/>
        <color indexed="64"/>
        <rFont val="HelveticaNeue-Bold"/>
      </rPr>
      <t>Almenara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</si>
  <si>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</si>
  <si>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Héctor</t>
    </r>
  </si>
  <si>
    <r>
      <rPr>
        <sz val="0"/>
        <color indexed="64"/>
        <rFont val="HelveticaNeue"/>
      </rPr>
      <t>Ruben</t>
    </r>
  </si>
  <si>
    <r>
      <rPr>
        <b/>
        <sz val="0"/>
        <color indexed="64"/>
        <rFont val="HelveticaNeue-Bold"/>
      </rPr>
      <t>Lucena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</si>
  <si>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</si>
  <si>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</si>
  <si>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Marc</t>
    </r>
  </si>
  <si>
    <r>
      <rPr>
        <b/>
        <sz val="0"/>
        <color indexed="64"/>
        <rFont val="HelveticaNeue-Bold"/>
      </rPr>
      <t>Andiamo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</si>
  <si>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</si>
  <si>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 xml:space="preserve">Angel </t>
    </r>
  </si>
  <si>
    <r>
      <rPr>
        <sz val="0"/>
        <color indexed="64"/>
        <rFont val="HelveticaNeue"/>
      </rPr>
      <t>Imram</t>
    </r>
  </si>
  <si>
    <r>
      <rPr>
        <b/>
        <sz val="0"/>
        <color indexed="64"/>
        <rFont val="HelveticaNeue-Bold"/>
      </rPr>
      <t>Burriana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</si>
  <si>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</si>
  <si>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Carlos</t>
    </r>
  </si>
  <si>
    <r>
      <rPr>
        <sz val="0"/>
        <color indexed="64"/>
        <rFont val="HelveticaNeue"/>
      </rPr>
      <t>Alex</t>
    </r>
  </si>
  <si>
    <r>
      <rPr>
        <b/>
        <sz val="0"/>
        <color indexed="64"/>
        <rFont val="HelveticaNeue-Bold"/>
      </rPr>
      <t>Xilxes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</si>
  <si>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</si>
  <si>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Collado</t>
    </r>
  </si>
  <si>
    <r>
      <rPr>
        <sz val="0"/>
        <color rgb="FFE22300"/>
        <rFont val="HelveticaNeue"/>
      </rPr>
      <t xml:space="preserve">Moises (enfermo)</t>
    </r>
  </si>
  <si>
    <r>
      <rPr>
        <sz val="0"/>
        <color rgb="FFE22300"/>
        <rFont val="HelveticaNeue"/>
      </rPr>
      <t xml:space="preserve">Jorge (lesión)</t>
    </r>
  </si>
  <si>
    <r>
      <rPr>
        <b/>
        <sz val="0"/>
        <color indexed="64"/>
        <rFont val="HelveticaNeue-Bold"/>
      </rPr>
      <t>Soneja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</si>
  <si>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</si>
  <si>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</si>
  <si>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</si>
  <si>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rgb="FFE22300"/>
        <rFont val="HelveticaNeue"/>
      </rPr>
      <t xml:space="preserve">Jorge (lesión)</t>
    </r>
  </si>
  <si>
    <r>
      <rPr>
        <b/>
        <sz val="0"/>
        <color indexed="64"/>
        <rFont val="HelveticaNeue-Bold"/>
      </rPr>
      <t>Sorinthule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</si>
  <si>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</si>
  <si>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Marc</t>
    </r>
  </si>
  <si>
    <r>
      <rPr>
        <sz val="0"/>
        <color rgb="FFE22300"/>
        <rFont val="HelveticaNeue"/>
      </rPr>
      <t xml:space="preserve">Jorge (enfermo)</t>
    </r>
  </si>
  <si>
    <r>
      <rPr>
        <b/>
        <sz val="0"/>
        <color indexed="64"/>
        <rFont val="HelveticaNeue-Bold"/>
      </rPr>
      <t>Vilavella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</si>
  <si>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</si>
  <si>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</si>
  <si>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Gabriel</t>
    </r>
  </si>
  <si>
    <r>
      <rPr>
        <sz val="0"/>
        <color rgb="FFE22300"/>
        <rFont val="HelveticaNeue"/>
      </rPr>
      <t xml:space="preserve">Imram (lesión)</t>
    </r>
  </si>
  <si>
    <r>
      <rPr>
        <b/>
        <sz val="0"/>
        <color indexed="64"/>
        <rFont val="HelveticaNeue-Bold"/>
      </rPr>
      <t>UD</t>
    </r>
  </si>
  <si>
    <r>
      <rPr>
        <b/>
        <sz val="0"/>
        <color indexed="64"/>
        <rFont val="HelveticaNeue-Bold"/>
      </rPr>
      <t>Casa</t>
    </r>
  </si>
  <si>
    <r>
      <rPr>
        <sz val="0"/>
        <color indexed="64"/>
        <rFont val="HelveticaNeue"/>
      </rPr>
      <t>Héctor</t>
    </r>
  </si>
  <si>
    <r>
      <rPr>
        <b/>
        <sz val="0"/>
        <color indexed="64"/>
        <rFont val="HelveticaNeue-Bold"/>
      </rPr>
      <t>Altura</t>
    </r>
  </si>
  <si>
    <r>
      <rPr>
        <b/>
        <sz val="0"/>
        <color indexed="64"/>
        <rFont val="HelveticaNeue-Bold"/>
      </rPr>
      <t>Fuera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</si>
  <si>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</si>
  <si>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Nicolás</t>
    </r>
  </si>
  <si>
    <r>
      <rPr>
        <sz val="0"/>
        <color rgb="FFE22300"/>
        <rFont val="HelveticaNeue"/>
      </rPr>
      <t xml:space="preserve">Imram (enfermo)</t>
    </r>
  </si>
  <si>
    <r>
      <rPr>
        <sz val="0"/>
        <color rgb="FFE22300"/>
        <rFont val="HelveticaNeue"/>
      </rPr>
      <t xml:space="preserve">Gabriel (enfermo)</t>
    </r>
  </si>
  <si>
    <r>
      <rPr>
        <b/>
        <sz val="0"/>
        <color indexed="64"/>
        <rFont val="HelveticaNeue-Bold"/>
      </rPr>
      <t>Jerica</t>
    </r>
  </si>
  <si>
    <r>
      <rPr>
        <b/>
        <sz val="0"/>
        <color indexed="64"/>
        <rFont val="HelveticaNeue-Bold"/>
      </rPr>
      <t>Casa</t>
    </r>
  </si>
  <si>
    <r>
      <rPr>
        <sz val="0"/>
        <color rgb="FFE22300"/>
        <rFont val="HelveticaNeue"/>
      </rPr>
      <t>Valentino</t>
    </r>
  </si>
  <si>
    <r>
      <rPr>
        <b/>
        <sz val="0"/>
        <color indexed="64"/>
        <rFont val="HelveticaNeue-Bold"/>
      </rPr>
      <t>Artana</t>
    </r>
  </si>
  <si>
    <r>
      <rPr>
        <b/>
        <sz val="0"/>
        <color indexed="64"/>
        <rFont val="HelveticaNeue-Bold"/>
      </rPr>
      <t>Fuera</t>
    </r>
  </si>
  <si>
    <r>
      <rPr>
        <sz val="0"/>
        <color rgb="FFE22300"/>
        <rFont val="HelveticaNeue"/>
      </rPr>
      <t>Valentino</t>
    </r>
  </si>
  <si>
    <r>
      <rPr>
        <b/>
        <sz val="0"/>
        <color indexed="64"/>
        <rFont val="HelveticaNeue-Bold"/>
      </rPr>
      <t>Nules</t>
    </r>
  </si>
  <si>
    <r>
      <rPr>
        <b/>
        <sz val="0"/>
        <color indexed="64"/>
        <rFont val="HelveticaNeue-Bold"/>
      </rPr>
      <t>Casa</t>
    </r>
  </si>
  <si>
    <r>
      <rPr>
        <b/>
        <sz val="0"/>
        <color indexed="64"/>
        <rFont val="HelveticaNeue-Bold"/>
      </rPr>
      <t>Almenara</t>
    </r>
  </si>
  <si>
    <r>
      <rPr>
        <b/>
        <sz val="0"/>
        <color indexed="64"/>
        <rFont val="HelveticaNeue-Bold"/>
      </rPr>
      <t>Fuera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</si>
  <si>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</si>
  <si>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</si>
  <si>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</si>
  <si>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</si>
  <si>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</si>
  <si>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</si>
  <si>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</si>
  <si>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</si>
  <si>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</si>
  <si>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</si>
  <si>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</si>
  <si>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</si>
  <si>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</si>
  <si>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</si>
  <si>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</si>
  <si>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</si>
  <si>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</si>
  <si>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</si>
  <si>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</si>
  <si>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</si>
  <si>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</si>
  <si>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</si>
  <si>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</si>
  <si>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</si>
  <si>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</si>
  <si>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</si>
  <si>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</si>
  <si>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</si>
  <si>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</si>
  <si>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</si>
  <si>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</si>
  <si>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</si>
  <si>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</si>
  <si>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</si>
  <si>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</si>
  <si>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</si>
  <si>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</si>
  <si>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</si>
  <si>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</si>
  <si>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</si>
  <si>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</si>
  <si>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</si>
  <si>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</si>
  <si>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</si>
  <si>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</si>
  <si>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</si>
  <si>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</si>
  <si>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</si>
  <si>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</si>
  <si>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</si>
  <si>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</si>
  <si>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</si>
  <si>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</si>
  <si>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</si>
  <si>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</si>
  <si>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</si>
  <si>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</si>
  <si>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</si>
  <si>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</si>
  <si>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</si>
  <si>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</si>
  <si>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</si>
  <si>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</si>
  <si>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</si>
  <si>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</si>
  <si>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</si>
  <si>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</si>
  <si>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</si>
  <si>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</si>
  <si>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</si>
  <si>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</si>
  <si>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</si>
  <si>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</si>
  <si>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</si>
  <si>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</si>
  <si>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</si>
  <si>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</si>
  <si>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</si>
  <si>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</si>
  <si>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</si>
  <si>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</si>
  <si>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</si>
  <si>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</si>
  <si>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</si>
  <si>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</si>
  <si>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</si>
  <si>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</si>
  <si>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</si>
  <si>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</si>
  <si>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</si>
  <si>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</si>
  <si>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</si>
  <si>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</si>
  <si>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</si>
  <si>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</si>
  <si>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</si>
  <si>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</si>
  <si>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</si>
  <si>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</si>
  <si>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</si>
  <si>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</si>
  <si>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</si>
  <si>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</si>
  <si>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</si>
  <si>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</si>
  <si>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</si>
  <si>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</si>
  <si>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</si>
  <si>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</si>
  <si>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</si>
  <si>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</si>
  <si>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</si>
  <si>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</si>
  <si>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</si>
  <si>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</si>
  <si>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</si>
  <si>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</si>
  <si>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</si>
  <si>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</si>
  <si>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</si>
  <si>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</si>
  <si>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</si>
  <si>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</si>
  <si>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</si>
  <si>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</si>
  <si>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</si>
  <si>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</si>
  <si>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</si>
  <si>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</si>
  <si>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</si>
  <si>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</si>
  <si>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</si>
  <si>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</si>
  <si>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</si>
  <si>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</si>
  <si>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</si>
  <si>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</si>
  <si>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</si>
  <si>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</si>
  <si>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</si>
  <si>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</si>
  <si>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</si>
  <si>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</si>
  <si>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</si>
  <si>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</si>
  <si>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</si>
  <si>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</si>
  <si>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</si>
  <si>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</si>
  <si>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</si>
  <si>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</si>
  <si>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</si>
  <si>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</si>
  <si>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</si>
  <si>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</si>
  <si>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</si>
  <si>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</si>
  <si>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</si>
  <si>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</si>
  <si>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</si>
  <si>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</si>
  <si>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</si>
  <si>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</si>
  <si>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</si>
  <si>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</si>
  <si>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</si>
  <si>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</si>
  <si>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</si>
  <si>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</si>
  <si>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</si>
  <si>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</si>
  <si>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</si>
  <si>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</si>
  <si>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</si>
  <si>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</si>
  <si>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</si>
  <si>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</si>
  <si>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</si>
  <si>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</si>
  <si>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</si>
  <si>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</si>
  <si>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</si>
  <si>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</si>
  <si>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</si>
  <si>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</si>
  <si>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</si>
  <si>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</si>
  <si>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</si>
  <si>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</si>
  <si>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</si>
  <si>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</si>
  <si>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</si>
  <si>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</si>
  <si>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</si>
  <si>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</si>
  <si>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</si>
  <si>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</si>
  <si>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</si>
  <si>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</si>
  <si>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</si>
  <si>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</si>
  <si>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</si>
  <si>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</si>
  <si>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</si>
  <si>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</si>
  <si>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</si>
  <si>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</si>
  <si>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</si>
  <si>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</si>
  <si>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</si>
  <si>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</si>
  <si>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</si>
  <si>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</si>
  <si>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</si>
  <si>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</si>
  <si>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5"/>
        <rFont val="HelveticaNeue"/>
      </rPr>
      <t xml:space="preserve">P F</t>
    </r>
  </si>
  <si>
    <r>
      <rPr>
        <b/>
        <sz val="0"/>
        <color indexed="65"/>
        <rFont val="HelveticaNeue"/>
      </rPr>
      <t xml:space="preserve">P C 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</si>
  <si>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</si>
  <si>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</si>
  <si>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</si>
  <si>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</si>
  <si>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</si>
  <si>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</si>
  <si>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</si>
  <si>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</si>
  <si>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</si>
  <si>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</si>
  <si>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</si>
  <si>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</si>
  <si>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</si>
  <si>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</si>
  <si>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</si>
  <si>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</si>
  <si>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</si>
  <si>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</si>
  <si>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</si>
  <si>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</si>
  <si>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</si>
  <si>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</si>
  <si>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</si>
  <si>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</si>
  <si>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</si>
  <si>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</si>
  <si>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</si>
  <si>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</si>
  <si>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</si>
  <si>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</si>
  <si>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</si>
  <si>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</si>
  <si>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</si>
  <si>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</si>
  <si>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</si>
  <si>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</si>
  <si>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</si>
  <si>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</si>
  <si>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</si>
  <si>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</si>
  <si>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</si>
  <si>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</si>
  <si>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</si>
  <si>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</si>
  <si>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</si>
  <si>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</si>
  <si>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</si>
  <si>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</si>
  <si>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</si>
  <si>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</si>
  <si>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</si>
  <si>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</si>
  <si>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</si>
  <si>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</si>
  <si>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</si>
  <si>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</si>
  <si>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</si>
  <si>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</si>
  <si>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</si>
  <si>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</si>
  <si>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</si>
  <si>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</si>
  <si>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</si>
  <si>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</si>
  <si>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</si>
  <si>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</si>
  <si>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</si>
  <si>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</si>
  <si>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</si>
  <si>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</si>
  <si>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</si>
  <si>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</si>
  <si>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</si>
  <si>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</si>
  <si>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</si>
  <si>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</si>
  <si>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</si>
  <si>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</si>
  <si>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</si>
  <si>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</si>
  <si>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</si>
  <si>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</si>
  <si>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</si>
  <si>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</si>
  <si>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</si>
  <si>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</si>
  <si>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</si>
  <si>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</si>
  <si>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</si>
  <si>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</si>
  <si>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</si>
  <si>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</si>
  <si>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</si>
  <si>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</si>
  <si>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</si>
  <si>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</si>
  <si>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</si>
  <si>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</si>
  <si>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</si>
  <si>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</si>
  <si>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</si>
  <si>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</si>
  <si>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</si>
  <si>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</si>
  <si>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</si>
  <si>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</si>
  <si>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</si>
  <si>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</si>
  <si>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</si>
  <si>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</si>
  <si>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</si>
  <si>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</si>
  <si>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</si>
  <si>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</si>
  <si>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</si>
  <si>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</si>
  <si>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</si>
  <si>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</si>
  <si>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</si>
  <si>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</si>
  <si>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</si>
  <si>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</si>
  <si>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</si>
  <si>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</si>
  <si>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</si>
  <si>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</si>
  <si>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</si>
  <si>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</si>
  <si>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</si>
  <si>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</si>
  <si>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</si>
  <si>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</si>
  <si>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</si>
  <si>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</si>
  <si>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</si>
  <si>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</si>
  <si>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</si>
  <si>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</si>
  <si>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</si>
  <si>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</si>
  <si>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</si>
  <si>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</si>
  <si>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</si>
  <si>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</si>
  <si>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</si>
  <si>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</si>
  <si>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</si>
  <si>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</si>
  <si>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</si>
  <si>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</si>
  <si>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</si>
  <si>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</si>
  <si>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</si>
  <si>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</si>
  <si>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</si>
  <si>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</si>
  <si>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</si>
  <si>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</si>
  <si>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</si>
  <si>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</si>
  <si>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</si>
  <si>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</si>
  <si>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</si>
  <si>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</si>
  <si>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</si>
  <si>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</si>
  <si>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</si>
  <si>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</si>
  <si>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</si>
  <si>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</si>
  <si>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</si>
  <si>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</si>
  <si>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</si>
  <si>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</si>
  <si>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</si>
  <si>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</si>
  <si>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</si>
  <si>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</si>
  <si>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</si>
  <si>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</si>
  <si>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5"/>
        <rFont val="HelveticaNeue"/>
      </rPr>
      <t xml:space="preserve">P F</t>
    </r>
  </si>
  <si>
    <r>
      <rPr>
        <b/>
        <sz val="0"/>
        <color indexed="65"/>
        <rFont val="HelveticaNeue"/>
      </rPr>
      <t xml:space="preserve">P C 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</si>
  <si>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</si>
  <si>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</si>
  <si>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</si>
  <si>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</si>
  <si>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</si>
  <si>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</si>
  <si>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</si>
  <si>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</si>
  <si>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</si>
  <si>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</si>
  <si>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</si>
  <si>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</si>
  <si>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</si>
  <si>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</si>
  <si>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</si>
  <si>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</si>
  <si>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</si>
  <si>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</si>
  <si>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</si>
  <si>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</si>
  <si>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</si>
  <si>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</si>
  <si>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</si>
  <si>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</si>
  <si>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</si>
  <si>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</si>
  <si>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</si>
  <si>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</si>
  <si>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</si>
  <si>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</si>
  <si>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</si>
  <si>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</si>
  <si>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</si>
  <si>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</si>
  <si>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</si>
  <si>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</si>
  <si>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</si>
  <si>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</si>
  <si>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</si>
  <si>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</si>
  <si>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</si>
  <si>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</si>
  <si>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</si>
  <si>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</si>
  <si>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</si>
  <si>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</si>
  <si>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</si>
  <si>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</si>
  <si>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</si>
  <si>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</si>
  <si>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</si>
  <si>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</si>
  <si>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</si>
  <si>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</si>
  <si>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</si>
  <si>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</si>
  <si>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</si>
  <si>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</si>
  <si>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</si>
  <si>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</si>
  <si>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</si>
  <si>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</si>
  <si>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</si>
  <si>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</si>
  <si>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</si>
  <si>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</si>
  <si>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</si>
  <si>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</si>
  <si>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</si>
  <si>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</si>
  <si>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</si>
  <si>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</si>
  <si>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5"/>
        <rFont val="HelveticaNeue"/>
      </rPr>
      <t xml:space="preserve">P F</t>
    </r>
  </si>
  <si>
    <r>
      <rPr>
        <b/>
        <sz val="0"/>
        <color indexed="65"/>
        <rFont val="HelveticaNeue"/>
      </rPr>
      <t xml:space="preserve">P C 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</si>
  <si>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</si>
  <si>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</si>
  <si>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</si>
  <si>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</si>
  <si>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</si>
  <si>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</si>
  <si>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</si>
  <si>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</si>
  <si>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</si>
  <si>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</si>
  <si>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</si>
  <si>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</si>
  <si>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</si>
  <si>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</si>
  <si>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</si>
  <si>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</si>
  <si>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</si>
  <si>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</si>
  <si>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</si>
  <si>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</si>
  <si>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</si>
  <si>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</si>
  <si>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</si>
  <si>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</si>
  <si>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</si>
  <si>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</si>
  <si>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</si>
  <si>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</si>
  <si>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</si>
  <si>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</si>
  <si>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</si>
  <si>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</si>
  <si>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</si>
  <si>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</si>
  <si>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</si>
  <si>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</si>
  <si>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</si>
  <si>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</si>
  <si>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</si>
  <si>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</si>
  <si>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</si>
  <si>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</si>
  <si>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</si>
  <si>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</si>
  <si>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</si>
  <si>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</si>
  <si>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</si>
  <si>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</si>
  <si>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</si>
  <si>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</si>
  <si>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</si>
  <si>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</si>
  <si>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</si>
  <si>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</si>
  <si>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</si>
  <si>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</si>
  <si>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</si>
  <si>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</si>
  <si>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</si>
  <si>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</si>
  <si>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</si>
  <si>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</si>
  <si>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</si>
  <si>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</si>
  <si>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</si>
  <si>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</si>
  <si>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</si>
  <si>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</si>
  <si>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</si>
  <si>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</si>
  <si>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</si>
  <si>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</si>
  <si>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</si>
  <si>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</si>
  <si>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</si>
  <si>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</si>
  <si>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</si>
  <si>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</si>
  <si>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</si>
  <si>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</si>
  <si>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</si>
  <si>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</si>
  <si>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</si>
  <si>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</si>
  <si>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</si>
  <si>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</si>
  <si>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</si>
  <si>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</si>
  <si>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</si>
  <si>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</si>
  <si>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</si>
  <si>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</si>
  <si>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</si>
  <si>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</si>
  <si>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</si>
  <si>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</si>
  <si>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</si>
  <si>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</si>
  <si>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</si>
  <si>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</si>
  <si>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</si>
  <si>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</si>
  <si>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</si>
  <si>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</si>
  <si>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</si>
  <si>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</si>
  <si>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</si>
  <si>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</si>
  <si>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</si>
  <si>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</si>
  <si>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</si>
  <si>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</si>
  <si>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</si>
  <si>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</si>
  <si>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</si>
  <si>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</si>
  <si>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</si>
  <si>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</si>
  <si>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</si>
  <si>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</si>
  <si>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</si>
  <si>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</si>
  <si>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</si>
  <si>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</si>
  <si>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</si>
  <si>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</si>
  <si>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</si>
  <si>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</si>
  <si>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</si>
  <si>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</si>
  <si>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</si>
  <si>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</si>
  <si>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</si>
  <si>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</si>
  <si>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</si>
  <si>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</si>
  <si>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</si>
  <si>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</si>
  <si>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</si>
  <si>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</si>
  <si>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</si>
  <si>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</si>
  <si>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</si>
  <si>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</si>
  <si>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</si>
  <si>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</si>
  <si>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</si>
  <si>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</si>
  <si>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</si>
  <si>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</si>
  <si>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</si>
  <si>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</si>
  <si>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</si>
  <si>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</si>
  <si>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</si>
  <si>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</si>
  <si>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</si>
  <si>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</si>
  <si>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</si>
  <si>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</si>
  <si>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</si>
  <si>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</si>
  <si>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</si>
  <si>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</si>
  <si>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</si>
  <si>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</si>
  <si>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</si>
  <si>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</si>
  <si>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</si>
  <si>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</si>
  <si>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</si>
  <si>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</si>
  <si>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</si>
  <si>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</si>
  <si>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</si>
  <si>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</si>
  <si>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</si>
  <si>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</si>
  <si>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</si>
  <si>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</si>
  <si>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</si>
  <si>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</si>
  <si>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</si>
  <si>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</si>
  <si>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</si>
  <si>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</si>
  <si>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</si>
  <si>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</si>
  <si>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</si>
  <si>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</si>
  <si>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</si>
  <si>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</si>
  <si>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</si>
  <si>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</si>
  <si>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</si>
  <si>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</si>
  <si>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</si>
  <si>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</si>
  <si>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</si>
  <si>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</si>
  <si>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</si>
  <si>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</si>
  <si>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</si>
  <si>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</si>
  <si>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</si>
  <si>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</si>
  <si>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</si>
  <si>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</si>
  <si>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</si>
  <si>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</si>
  <si>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</si>
  <si>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</si>
  <si>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</si>
  <si>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</si>
  <si>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</si>
  <si>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</si>
  <si>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</si>
  <si>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</si>
  <si>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</si>
  <si>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</si>
  <si>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</si>
  <si>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</si>
  <si>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</si>
  <si>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</si>
  <si>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</si>
  <si>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</si>
  <si>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</si>
  <si>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</si>
  <si>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</si>
  <si>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</si>
  <si>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</si>
  <si>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</si>
  <si>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</si>
  <si>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</si>
  <si>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</si>
  <si>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</si>
  <si>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</si>
  <si>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</si>
  <si>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</si>
  <si>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</si>
  <si>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</si>
  <si>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</si>
  <si>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</si>
  <si>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</si>
  <si>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</si>
  <si>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</si>
  <si>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</si>
  <si>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</si>
  <si>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</si>
  <si>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</si>
  <si>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</si>
  <si>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</si>
  <si>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</si>
  <si>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</si>
  <si>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</si>
  <si>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</si>
  <si>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</si>
  <si>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</si>
  <si>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</si>
  <si>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</si>
  <si>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</si>
  <si>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</si>
  <si>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</si>
  <si>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</si>
  <si>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</si>
  <si>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</si>
  <si>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</si>
  <si>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</si>
  <si>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</si>
  <si>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</si>
  <si>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</si>
  <si>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</si>
  <si>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</si>
  <si>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</si>
  <si>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</si>
  <si>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</si>
  <si>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</si>
  <si>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</si>
  <si>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</si>
  <si>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</si>
  <si>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</si>
  <si>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</si>
  <si>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</si>
  <si>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</si>
  <si>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</si>
  <si>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</si>
  <si>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</si>
  <si>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</si>
  <si>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5"/>
        <rFont val="HelveticaNeue"/>
      </rPr>
      <t xml:space="preserve">P F</t>
    </r>
  </si>
  <si>
    <r>
      <rPr>
        <b/>
        <sz val="0"/>
        <color indexed="65"/>
        <rFont val="HelveticaNeue"/>
      </rPr>
      <t xml:space="preserve">P C 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</si>
  <si>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</si>
  <si>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</si>
  <si>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</si>
  <si>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</si>
  <si>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</si>
  <si>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</si>
  <si>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</si>
  <si>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</si>
  <si>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</si>
  <si>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</si>
  <si>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</si>
  <si>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</si>
  <si>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</si>
  <si>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</si>
  <si>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</si>
  <si>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</si>
  <si>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</si>
  <si>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</si>
  <si>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</si>
  <si>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</si>
  <si>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</si>
  <si>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</si>
  <si>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</si>
  <si>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</si>
  <si>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</si>
  <si>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</si>
  <si>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</si>
  <si>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</si>
  <si>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</si>
  <si>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</si>
  <si>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</si>
  <si>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</si>
  <si>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</si>
  <si>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</si>
  <si>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</si>
  <si>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</si>
  <si>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</si>
  <si>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</si>
  <si>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</si>
  <si>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</si>
  <si>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</si>
  <si>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</si>
  <si>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</si>
  <si>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</si>
  <si>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</si>
  <si>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</si>
  <si>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</si>
  <si>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</si>
  <si>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</si>
  <si>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</si>
  <si>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</si>
  <si>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</si>
  <si>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</si>
  <si>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</si>
  <si>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</si>
  <si>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</si>
  <si>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</si>
  <si>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</si>
  <si>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</si>
  <si>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</si>
  <si>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</si>
  <si>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</si>
  <si>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</si>
  <si>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</si>
  <si>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</si>
  <si>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</si>
  <si>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</si>
  <si>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</si>
  <si>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</si>
  <si>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</si>
  <si>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</si>
  <si>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</si>
  <si>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</si>
  <si>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</si>
  <si>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</si>
  <si>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</si>
  <si>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</si>
  <si>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</si>
  <si>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</si>
  <si>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</si>
  <si>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</si>
  <si>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</si>
  <si>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</si>
  <si>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</si>
  <si>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</si>
  <si>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</si>
  <si>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</si>
  <si>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</si>
  <si>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</si>
  <si>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</si>
  <si>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</si>
  <si>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</si>
  <si>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</si>
  <si>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</si>
  <si>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</si>
  <si>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</si>
  <si>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</si>
  <si>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</si>
  <si>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</si>
  <si>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</si>
  <si>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</si>
  <si>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</si>
  <si>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</si>
  <si>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</si>
  <si>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</si>
  <si>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</si>
  <si>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</si>
  <si>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</si>
  <si>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</si>
  <si>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</si>
  <si>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</si>
  <si>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</si>
  <si>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</si>
  <si>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</si>
  <si>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</si>
  <si>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</si>
  <si>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</si>
  <si>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</si>
  <si>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</si>
  <si>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</si>
  <si>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</si>
  <si>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</si>
  <si>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</si>
  <si>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</si>
  <si>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</si>
  <si>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</si>
  <si>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</si>
  <si>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</si>
  <si>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</si>
  <si>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</si>
  <si>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</si>
  <si>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</si>
  <si>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</si>
  <si>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</si>
  <si>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</si>
  <si>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</si>
  <si>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</si>
  <si>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</si>
  <si>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</si>
  <si>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</si>
  <si>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</si>
  <si>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</si>
  <si>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</si>
  <si>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</si>
  <si>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sz val="0"/>
        <color indexed="65"/>
        <rFont val="HelveticaNeue"/>
      </rPr>
      <t xml:space="preserve">Gol P.P.</t>
    </r>
  </si>
  <si>
    <r>
      <rPr>
        <b/>
        <sz val="0"/>
        <color indexed="64"/>
        <rFont val="HelveticaNeue-Bold"/>
      </rPr>
      <t>Número</t>
    </r>
  </si>
  <si>
    <r>
      <rPr>
        <b/>
        <sz val="0"/>
        <color indexed="64"/>
        <rFont val="HelveticaNeue-Bold"/>
      </rPr>
      <t>Nombre</t>
    </r>
  </si>
  <si>
    <r>
      <rPr>
        <b/>
        <sz val="0"/>
        <color indexed="64"/>
        <rFont val="HelveticaNeue-Bold"/>
      </rPr>
      <t xml:space="preserve">Minutos jugados</t>
    </r>
  </si>
  <si>
    <r>
      <rPr>
        <b/>
        <sz val="0"/>
        <color indexed="64"/>
        <rFont val="HelveticaNeue-Bold"/>
      </rPr>
      <t xml:space="preserve">Titularidades 1* parte</t>
    </r>
  </si>
  <si>
    <r>
      <rPr>
        <b/>
        <sz val="0"/>
        <color indexed="64"/>
        <rFont val="HelveticaNeue-Bold"/>
      </rPr>
      <t xml:space="preserve">Sustitución 1* parte - Entra</t>
    </r>
  </si>
  <si>
    <r>
      <rPr>
        <b/>
        <sz val="0"/>
        <color indexed="64"/>
        <rFont val="HelveticaNeue-Bold"/>
      </rPr>
      <t xml:space="preserve">Sustitución 1* parte - Sale</t>
    </r>
  </si>
  <si>
    <r>
      <rPr>
        <b/>
        <sz val="0"/>
        <color indexed="64"/>
        <rFont val="HelveticaNeue-Bold"/>
      </rPr>
      <t xml:space="preserve">Minutos 1* Parte</t>
    </r>
  </si>
  <si>
    <r>
      <rPr>
        <b/>
        <sz val="0"/>
        <color indexed="64"/>
        <rFont val="HelveticaNeue-Bold"/>
      </rPr>
      <t xml:space="preserve">Titularidades 2* parte</t>
    </r>
  </si>
  <si>
    <r>
      <rPr>
        <b/>
        <sz val="0"/>
        <color indexed="64"/>
        <rFont val="HelveticaNeue-Bold"/>
      </rPr>
      <t xml:space="preserve">Sustitución 2* parte - Entra</t>
    </r>
  </si>
  <si>
    <r>
      <rPr>
        <b/>
        <sz val="0"/>
        <color indexed="64"/>
        <rFont val="HelveticaNeue-Bold"/>
      </rPr>
      <t xml:space="preserve">Sustitución 2* parte - Sale</t>
    </r>
  </si>
  <si>
    <r>
      <rPr>
        <b/>
        <sz val="0"/>
        <color indexed="64"/>
        <rFont val="HelveticaNeue-Bold"/>
      </rPr>
      <t xml:space="preserve">Minutos 2* Parte</t>
    </r>
  </si>
  <si>
    <r>
      <rPr>
        <b/>
        <sz val="0"/>
        <color indexed="64"/>
        <rFont val="HelveticaNeue-Bold"/>
      </rPr>
      <t>Goles</t>
    </r>
  </si>
  <si>
    <r>
      <rPr>
        <b/>
        <sz val="0"/>
        <color indexed="64"/>
        <rFont val="HelveticaNeue-Bold"/>
      </rPr>
      <t>Asistencias</t>
    </r>
  </si>
  <si>
    <r>
      <rPr>
        <b/>
        <sz val="0"/>
        <color indexed="64"/>
        <rFont val="HelveticaNeue-Bold"/>
      </rPr>
      <t xml:space="preserve">Goles contrario</t>
    </r>
  </si>
  <si>
    <r>
      <rPr>
        <b/>
        <sz val="0"/>
        <color indexed="64"/>
        <rFont val="HelveticaNeue-Bold"/>
      </rPr>
      <t>Jugado</t>
    </r>
  </si>
  <si>
    <r>
      <rPr>
        <b/>
        <sz val="0"/>
        <color indexed="64"/>
        <rFont val="HelveticaNeue-Bold"/>
      </rPr>
      <t xml:space="preserve">Extra entra 1*</t>
    </r>
  </si>
  <si>
    <r>
      <rPr>
        <b/>
        <sz val="0"/>
        <color indexed="64"/>
        <rFont val="HelveticaNeue-Bold"/>
      </rPr>
      <t xml:space="preserve">Extra sale 1*</t>
    </r>
  </si>
  <si>
    <r>
      <rPr>
        <b/>
        <sz val="0"/>
        <color indexed="64"/>
        <rFont val="HelveticaNeue-Bold"/>
      </rPr>
      <t xml:space="preserve">Extra entra 2*</t>
    </r>
  </si>
  <si>
    <r>
      <rPr>
        <b/>
        <sz val="0"/>
        <color indexed="64"/>
        <rFont val="HelveticaNeue-Bold"/>
      </rPr>
      <t xml:space="preserve">Extra sale 2*</t>
    </r>
  </si>
  <si>
    <r>
      <rPr>
        <sz val="0"/>
        <color indexed="64"/>
        <rFont val="HelveticaNeue"/>
      </rPr>
      <t>Jorge</t>
    </r>
  </si>
  <si>
    <r>
      <rPr>
        <sz val="0"/>
        <color indexed="64"/>
        <rFont val="HelveticaNeue"/>
      </rPr>
      <t>Gabriel</t>
    </r>
  </si>
  <si>
    <r>
      <rPr>
        <sz val="0"/>
        <color indexed="64"/>
        <rFont val="HelveticaNeue"/>
      </rPr>
      <t xml:space="preserve">Héctor </t>
    </r>
  </si>
  <si>
    <r>
      <rPr>
        <sz val="0"/>
        <color indexed="64"/>
        <rFont val="HelveticaNeue"/>
      </rPr>
      <t>Nicolás</t>
    </r>
  </si>
  <si>
    <r>
      <rPr>
        <sz val="0"/>
        <color indexed="64"/>
        <rFont val="HelveticaNeue"/>
      </rPr>
      <t>Hugo</t>
    </r>
  </si>
  <si>
    <r>
      <rPr>
        <sz val="0"/>
        <color indexed="64"/>
        <rFont val="HelveticaNeue"/>
      </rPr>
      <t>Leon</t>
    </r>
  </si>
  <si>
    <r>
      <rPr>
        <sz val="0"/>
        <color indexed="64"/>
        <rFont val="HelveticaNeue"/>
      </rPr>
      <t>Ruben</t>
    </r>
  </si>
  <si>
    <r>
      <rPr>
        <sz val="0"/>
        <color indexed="64"/>
        <rFont val="HelveticaNeue"/>
      </rPr>
      <t>Marc</t>
    </r>
  </si>
  <si>
    <r>
      <rPr>
        <sz val="0"/>
        <color indexed="64"/>
        <rFont val="HelveticaNeue"/>
      </rPr>
      <t>Angel</t>
    </r>
  </si>
  <si>
    <r>
      <rPr>
        <sz val="0"/>
        <color indexed="64"/>
        <rFont val="HelveticaNeue"/>
      </rPr>
      <t>Martin</t>
    </r>
  </si>
  <si>
    <r>
      <rPr>
        <sz val="0"/>
        <color indexed="64"/>
        <rFont val="HelveticaNeue"/>
      </rPr>
      <t>Valentino</t>
    </r>
  </si>
  <si>
    <r>
      <rPr>
        <sz val="0"/>
        <color indexed="64"/>
        <rFont val="HelveticaNeue"/>
      </rPr>
      <t>Alex</t>
    </r>
  </si>
  <si>
    <r>
      <rPr>
        <sz val="0"/>
        <color indexed="64"/>
        <rFont val="HelveticaNeue"/>
      </rPr>
      <t>Moises</t>
    </r>
  </si>
  <si>
    <r>
      <rPr>
        <sz val="0"/>
        <color indexed="64"/>
        <rFont val="HelveticaNeue"/>
      </rPr>
      <t>Imram</t>
    </r>
  </si>
  <si>
    <r>
      <rPr>
        <sz val="0"/>
        <color indexed="64"/>
        <rFont val="HelveticaNeue"/>
      </rPr>
      <t>Collado</t>
    </r>
  </si>
  <si>
    <r>
      <rPr>
        <sz val="0"/>
        <color indexed="64"/>
        <rFont val="HelveticaNeue"/>
      </rPr>
      <t>Carlos</t>
    </r>
  </si>
  <si>
    <r>
      <rPr>
        <b/>
        <sz val="0"/>
        <color indexed="65"/>
        <rFont val="HelveticaNeue"/>
      </rPr>
      <t xml:space="preserve">P F</t>
    </r>
  </si>
  <si>
    <r>
      <rPr>
        <b/>
        <sz val="0"/>
        <color indexed="65"/>
        <rFont val="HelveticaNeue"/>
      </rPr>
      <t xml:space="preserve">P C </t>
    </r>
  </si>
  <si>
    <r>
      <rPr>
        <sz val="0"/>
        <color indexed="65"/>
        <rFont val="HelveticaNeue"/>
      </rPr>
      <t xml:space="preserve">Gol P.P.</t>
    </r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</si>
</sst>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4">
    <numFmt numFmtId="164" formatCode="General"/>
    <numFmt numFmtId="165" formatCode="0.00%"/>
    <numFmt numFmtId="166" formatCode="0.00"/>
    <numFmt numFmtId="167" formatCode="General%"/>
  </numFmts>
  <fonts count="8">
    <font>
      <sz val="11.000000"/>
      <name val="Liberation Sans"/>
    </font>
    <font>
      <b/>
      <sz val="10.000800"/>
      <color indexed="64"/>
      <name val="HelveticaNeue-Bold"/>
    </font>
    <font>
      <sz val="10.000800"/>
      <color indexed="64"/>
      <name val="HelveticaNeue"/>
    </font>
    <font>
      <sz val="10.000800"/>
      <color indexed="65"/>
      <name val="HelveticaNeue"/>
    </font>
    <font>
      <b/>
      <sz val="10.000800"/>
      <color indexed="64"/>
      <name val="HelveticaNeue"/>
    </font>
    <font>
      <b/>
      <sz val="16.999200"/>
      <color indexed="64"/>
      <name val="HelveticaNeue"/>
    </font>
    <font>
      <b/>
      <sz val="16.999200"/>
      <color indexed="64"/>
      <name val="HelveticaNeue-Bold"/>
    </font>
    <font>
      <sz val="16.999200"/>
      <color indexed="64"/>
      <name val="HelveticaNeue"/>
    </font>
  </fonts>
  <fills count="45">
    <fill>
      <patternFill patternType="none"/>
    </fill>
    <fill>
      <patternFill patternType="gray125"/>
    </fill>
    <fill>
      <patternFill patternType="solid">
        <fgColor rgb="FF464646"/>
        <bgColor rgb="FF464646"/>
      </patternFill>
    </fill>
    <fill>
      <patternFill patternType="solid">
        <fgColor rgb="FF5B0600"/>
        <bgColor rgb="FF5B0600"/>
      </patternFill>
    </fill>
    <fill>
      <patternFill patternType="solid">
        <fgColor rgb="FF831000"/>
        <bgColor rgb="FF831000"/>
      </patternFill>
    </fill>
    <fill>
      <patternFill patternType="solid">
        <fgColor rgb="FFB51900"/>
        <bgColor rgb="FFB51900"/>
      </patternFill>
    </fill>
    <fill>
      <patternFill patternType="solid">
        <fgColor rgb="FFE22300"/>
        <bgColor rgb="FFE22300"/>
      </patternFill>
    </fill>
    <fill>
      <patternFill patternType="solid">
        <fgColor rgb="FFFF3F14"/>
        <bgColor rgb="FFFF3F14"/>
      </patternFill>
    </fill>
    <fill>
      <patternFill patternType="solid">
        <fgColor rgb="FFFF614F"/>
        <bgColor rgb="FFFF614F"/>
      </patternFill>
    </fill>
    <fill>
      <patternFill patternType="solid">
        <fgColor rgb="FFFF8C82"/>
        <bgColor rgb="FFFF8C82"/>
      </patternFill>
    </fill>
    <fill>
      <patternFill patternType="solid">
        <fgColor rgb="FFFFB5AF"/>
        <bgColor rgb="FFFFB5AF"/>
      </patternFill>
    </fill>
    <fill>
      <patternFill patternType="solid">
        <fgColor rgb="FFFFDBD8"/>
        <bgColor rgb="FFFFDBD8"/>
      </patternFill>
    </fill>
    <fill>
      <patternFill patternType="solid">
        <fgColor rgb="FFDFEED4"/>
        <bgColor rgb="FFDFEED4"/>
      </patternFill>
    </fill>
    <fill>
      <patternFill patternType="solid">
        <fgColor rgb="FFFED38A"/>
        <bgColor rgb="FFFED38A"/>
      </patternFill>
    </fill>
    <fill>
      <patternFill patternType="solid">
        <fgColor rgb="FFFEF9A4"/>
        <bgColor rgb="FFFEF9A4"/>
      </patternFill>
    </fill>
    <fill>
      <patternFill patternType="solid">
        <fgColor rgb="FFE1DB5C"/>
        <bgColor rgb="FFE1DB5C"/>
      </patternFill>
    </fill>
    <fill>
      <patternFill patternType="solid">
        <fgColor rgb="FFEBEBEB"/>
        <bgColor rgb="FFEBEBEB"/>
      </patternFill>
    </fill>
    <fill>
      <patternFill patternType="solid">
        <fgColor rgb="FF5B5B5B"/>
        <bgColor rgb="FF5B5B5B"/>
      </patternFill>
    </fill>
    <fill>
      <patternFill patternType="solid">
        <fgColor indexed="65"/>
        <bgColor indexed="65"/>
      </patternFill>
    </fill>
    <fill>
      <patternFill patternType="solid">
        <fgColor rgb="FF2A9BDC"/>
        <bgColor rgb="FF2A9BDC"/>
      </patternFill>
    </fill>
    <fill>
      <patternFill patternType="solid">
        <fgColor rgb="FFDA2C0A"/>
        <bgColor rgb="FFDA2C0A"/>
      </patternFill>
    </fill>
    <fill>
      <patternFill patternType="solid">
        <fgColor rgb="FFFFC080"/>
        <bgColor rgb="FFFFC080"/>
      </patternFill>
    </fill>
    <fill>
      <patternFill patternType="solid">
        <fgColor rgb="FFC2C2C2"/>
        <bgColor rgb="FFC2C2C2"/>
      </patternFill>
    </fill>
    <fill>
      <patternFill patternType="solid">
        <fgColor rgb="FF69A1FE"/>
        <bgColor rgb="FF69A1FE"/>
      </patternFill>
    </fill>
    <fill>
      <patternFill patternType="solid">
        <fgColor rgb="FFF06C57"/>
        <bgColor rgb="FFF06C57"/>
      </patternFill>
    </fill>
    <fill>
      <patternFill patternType="solid">
        <fgColor rgb="FFFFC39D"/>
        <bgColor rgb="FFFFC39D"/>
      </patternFill>
    </fill>
    <fill>
      <patternFill patternType="solid">
        <fgColor rgb="FFEA8B75"/>
        <bgColor rgb="FFEA8B75"/>
      </patternFill>
    </fill>
    <fill>
      <patternFill patternType="solid">
        <fgColor rgb="FFFFA098"/>
        <bgColor rgb="FFFFA098"/>
      </patternFill>
    </fill>
    <fill>
      <patternFill patternType="solid">
        <fgColor rgb="FFFFDAD7"/>
        <bgColor rgb="FFFFDAD7"/>
      </patternFill>
    </fill>
    <fill>
      <patternFill patternType="solid">
        <fgColor rgb="FF929292"/>
        <bgColor rgb="FF929292"/>
      </patternFill>
    </fill>
    <fill>
      <patternFill patternType="solid">
        <fgColor rgb="FFD19D00"/>
        <bgColor rgb="FFD19D00"/>
      </patternFill>
    </fill>
    <fill>
      <patternFill patternType="solid">
        <fgColor rgb="FF00C7FC"/>
        <bgColor rgb="FF00C7FC"/>
      </patternFill>
    </fill>
    <fill>
      <patternFill patternType="solid">
        <fgColor rgb="FF51D6FC"/>
        <bgColor rgb="FF51D6FC"/>
      </patternFill>
    </fill>
    <fill>
      <patternFill patternType="solid">
        <fgColor rgb="FF93E3FD"/>
        <bgColor rgb="FF93E3FD"/>
      </patternFill>
    </fill>
    <fill>
      <patternFill patternType="solid">
        <fgColor rgb="FFD5D5D5"/>
        <bgColor rgb="FFD5D5D5"/>
      </patternFill>
    </fill>
    <fill>
      <patternFill patternType="solid">
        <fgColor rgb="FFD356FE"/>
        <bgColor rgb="FFD356FE"/>
      </patternFill>
    </fill>
    <fill>
      <patternFill patternType="solid">
        <fgColor rgb="FFE292FE"/>
        <bgColor rgb="FFE292FE"/>
      </patternFill>
    </fill>
    <fill>
      <patternFill patternType="solid">
        <fgColor rgb="FFEFCAFF"/>
        <bgColor rgb="FFEFCAFF"/>
      </patternFill>
    </fill>
    <fill>
      <patternFill patternType="solid">
        <fgColor rgb="FF858585"/>
        <bgColor rgb="FF858585"/>
      </patternFill>
    </fill>
    <fill>
      <patternFill patternType="solid">
        <fgColor rgb="FF4D7926"/>
        <bgColor rgb="FF4D7926"/>
      </patternFill>
    </fill>
    <fill>
      <patternFill patternType="solid">
        <fgColor rgb="FF0060FE"/>
        <bgColor rgb="FF0060FE"/>
      </patternFill>
    </fill>
    <fill>
      <patternFill patternType="solid">
        <fgColor rgb="FFBDC0BF"/>
        <bgColor rgb="FFBDC0BF"/>
      </patternFill>
    </fill>
    <fill>
      <patternFill patternType="solid">
        <fgColor rgb="FFDCDCDC"/>
        <bgColor rgb="FFDCDCDC"/>
      </patternFill>
    </fill>
    <fill>
      <patternFill patternType="solid">
        <fgColor rgb="FF701100"/>
        <bgColor rgb="FF701100"/>
      </patternFill>
    </fill>
    <fill>
      <patternFill patternType="solid">
        <fgColor rgb="FFFE8529"/>
        <bgColor rgb="FFFE8529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applyNumberFormat="1"/>
  </cellStyleXfs>
  <cellXfs count="97">
    <xf fontId="0" fillId="0" borderId="0" numFmtId="0" xfId="0" applyNumberFormat="1" applyFont="1" applyFill="1" applyAlignment="0" applyProtection="0"/>
    <xf fontId="1" fillId="2" borderId="0" numFmtId="0" xfId="0" applyNumberFormat="1" applyFont="1" applyFill="1" applyAlignment="1" applyProtection="0">
      <alignment vertical="center"/>
    </xf>
    <xf fontId="1" fillId="3" borderId="0" numFmtId="0" xfId="0" applyNumberFormat="1" applyFont="1" applyFill="1" applyAlignment="1" applyProtection="0">
      <alignment vertical="center"/>
    </xf>
    <xf fontId="1" fillId="4" borderId="0" numFmtId="0" xfId="0" applyNumberFormat="1" applyFont="1" applyFill="1" applyAlignment="1" applyProtection="0">
      <alignment vertical="center"/>
    </xf>
    <xf fontId="1" fillId="5" borderId="0" numFmtId="0" xfId="0" applyNumberFormat="1" applyFont="1" applyFill="1" applyAlignment="1" applyProtection="0">
      <alignment vertical="center"/>
    </xf>
    <xf fontId="1" fillId="6" borderId="0" numFmtId="0" xfId="0" applyNumberFormat="1" applyFont="1" applyFill="1" applyAlignment="1" applyProtection="0">
      <alignment vertical="center"/>
    </xf>
    <xf fontId="1" fillId="7" borderId="0" numFmtId="0" xfId="0" applyNumberFormat="1" applyFont="1" applyFill="1" applyAlignment="1" applyProtection="0">
      <alignment vertical="center"/>
    </xf>
    <xf fontId="1" fillId="8" borderId="0" numFmtId="0" xfId="0" applyNumberFormat="1" applyFont="1" applyFill="1" applyAlignment="1" applyProtection="0">
      <alignment vertical="center"/>
    </xf>
    <xf fontId="1" fillId="9" borderId="0" numFmtId="0" xfId="0" applyNumberFormat="1" applyFont="1" applyFill="1" applyAlignment="1" applyProtection="0">
      <alignment vertical="center"/>
    </xf>
    <xf fontId="1" fillId="10" borderId="0" numFmtId="0" xfId="0" applyNumberFormat="1" applyFont="1" applyFill="1" applyAlignment="1" applyProtection="0">
      <alignment vertical="center"/>
    </xf>
    <xf fontId="1" fillId="11" borderId="0" numFmtId="0" xfId="0" applyNumberFormat="1" applyFont="1" applyFill="1" applyAlignment="1" applyProtection="0">
      <alignment vertical="center"/>
    </xf>
    <xf fontId="1" fillId="12" borderId="0" numFmtId="0" xfId="0" applyNumberFormat="1" applyFont="1" applyFill="1" applyAlignment="1" applyProtection="0">
      <alignment vertical="center"/>
    </xf>
    <xf fontId="1" fillId="13" borderId="0" numFmtId="0" xfId="0" applyNumberFormat="1" applyFont="1" applyFill="1" applyAlignment="1" applyProtection="0">
      <alignment vertical="center"/>
    </xf>
    <xf fontId="1" fillId="14" borderId="0" numFmtId="0" xfId="0" applyNumberFormat="1" applyFont="1" applyFill="1" applyAlignment="1" applyProtection="0">
      <alignment vertical="center"/>
    </xf>
    <xf fontId="1" fillId="15" borderId="0" numFmtId="0" xfId="0" applyNumberFormat="1" applyFont="1" applyFill="1" applyAlignment="1" applyProtection="0">
      <alignment vertical="center"/>
    </xf>
    <xf fontId="1" fillId="16" borderId="0" numFmtId="164" xfId="0" applyNumberFormat="1" applyFont="1" applyFill="1" applyAlignment="1" applyProtection="0">
      <alignment vertical="center"/>
    </xf>
    <xf fontId="1" fillId="16" borderId="0" numFmtId="0" xfId="0" applyNumberFormat="1" applyFont="1" applyFill="1" applyAlignment="1" applyProtection="0">
      <alignment vertical="center"/>
    </xf>
    <xf fontId="2" fillId="16" borderId="0" numFmtId="164" xfId="0" applyNumberFormat="1" applyFont="1" applyFill="1" applyAlignment="1" applyProtection="0">
      <alignment vertical="center"/>
    </xf>
    <xf fontId="2" fillId="16" borderId="0" numFmtId="10" xfId="0" applyNumberFormat="1" applyFont="1" applyFill="1" applyAlignment="1" applyProtection="0">
      <alignment vertical="center"/>
    </xf>
    <xf fontId="3" fillId="17" borderId="0" numFmtId="165" xfId="0" applyNumberFormat="1" applyFont="1" applyFill="1" applyAlignment="1" applyProtection="0">
      <alignment vertical="center"/>
    </xf>
    <xf fontId="2" fillId="16" borderId="0" numFmtId="165" xfId="0" applyNumberFormat="1" applyFont="1" applyFill="1" applyAlignment="1" applyProtection="0">
      <alignment vertical="center"/>
    </xf>
    <xf fontId="3" fillId="17" borderId="0" numFmtId="166" xfId="0" applyNumberFormat="1" applyFont="1" applyFill="1" applyAlignment="1" applyProtection="0">
      <alignment vertical="center"/>
    </xf>
    <xf fontId="2" fillId="16" borderId="0" numFmtId="0" xfId="0" applyNumberFormat="1" applyFont="1" applyFill="1" applyAlignment="1" applyProtection="0">
      <alignment vertical="center"/>
    </xf>
    <xf fontId="2" fillId="16" borderId="0" numFmtId="166" xfId="0" applyNumberFormat="1" applyFont="1" applyFill="1" applyAlignment="1" applyProtection="0">
      <alignment vertical="center"/>
    </xf>
    <xf fontId="2" fillId="18" borderId="0" numFmtId="164" xfId="0" applyNumberFormat="1" applyFont="1" applyFill="1" applyAlignment="1" applyProtection="0">
      <alignment vertical="center"/>
    </xf>
    <xf fontId="2" fillId="18" borderId="1" numFmtId="164" xfId="0" applyNumberFormat="1" applyFont="1" applyFill="1" applyAlignment="1" applyProtection="0">
      <alignment vertical="center"/>
    </xf>
    <xf fontId="1" fillId="18" borderId="0" numFmtId="164" xfId="0" applyNumberFormat="1" applyFont="1" applyFill="1" applyAlignment="1" applyProtection="0">
      <alignment vertical="center"/>
    </xf>
    <xf fontId="1" fillId="18" borderId="0" numFmtId="0" xfId="0" applyNumberFormat="1" applyFont="1" applyFill="1" applyAlignment="1" applyProtection="0">
      <alignment vertical="center"/>
    </xf>
    <xf fontId="2" fillId="18" borderId="0" numFmtId="166" xfId="0" applyNumberFormat="1" applyFont="1" applyFill="1" applyAlignment="1" applyProtection="0">
      <alignment vertical="center"/>
    </xf>
    <xf fontId="2" fillId="18" borderId="0" numFmtId="165" xfId="0" applyNumberFormat="1" applyFont="1" applyFill="1" applyAlignment="1" applyProtection="0">
      <alignment vertical="center"/>
    </xf>
    <xf fontId="2" fillId="19" borderId="0" numFmtId="0" xfId="0" applyNumberFormat="1" applyFont="1" applyFill="1" applyAlignment="1" applyProtection="0">
      <alignment vertical="center"/>
    </xf>
    <xf fontId="2" fillId="0" borderId="2" numFmtId="0" xfId="0" applyNumberFormat="1" applyFont="1" applyFill="1" applyAlignment="1" applyProtection="0">
      <alignment vertical="top"/>
    </xf>
    <xf fontId="3" fillId="18" borderId="0" numFmtId="0" xfId="0" applyNumberFormat="1" applyFont="1" applyFill="1" applyAlignment="1" applyProtection="0">
      <alignment vertical="center"/>
    </xf>
    <xf fontId="2" fillId="0" borderId="3" numFmtId="0" xfId="0" applyNumberFormat="1" applyFont="1" applyFill="1" applyAlignment="1" applyProtection="0">
      <alignment vertical="top"/>
    </xf>
    <xf fontId="2" fillId="18" borderId="0" numFmtId="0" xfId="0" applyNumberFormat="1" applyFont="1" applyFill="1" applyAlignment="1" applyProtection="0">
      <alignment vertical="center"/>
    </xf>
    <xf fontId="2" fillId="18" borderId="0" numFmtId="167" xfId="0" applyNumberFormat="1" applyFont="1" applyFill="1" applyAlignment="1" applyProtection="0">
      <alignment vertical="center"/>
    </xf>
    <xf fontId="2" fillId="20" borderId="0" numFmtId="0" xfId="0" applyNumberFormat="1" applyFont="1" applyFill="1" applyAlignment="1" applyProtection="0">
      <alignment vertical="center"/>
    </xf>
    <xf fontId="2" fillId="16" borderId="0" numFmtId="167" xfId="0" applyNumberFormat="1" applyFont="1" applyFill="1" applyAlignment="1" applyProtection="0">
      <alignment vertical="center"/>
    </xf>
    <xf fontId="2" fillId="0" borderId="0" numFmtId="164" xfId="0" applyNumberFormat="1" applyFont="1" applyFill="1" applyAlignment="1" applyProtection="0">
      <alignment vertical="center"/>
    </xf>
    <xf fontId="2" fillId="0" borderId="4" numFmtId="0" xfId="0" applyNumberFormat="1" applyFont="1" applyFill="1" applyAlignment="1" applyProtection="0">
      <alignment vertical="top"/>
    </xf>
    <xf fontId="2" fillId="21" borderId="0" numFmtId="0" xfId="0" applyNumberFormat="1" applyFont="1" applyFill="1" applyAlignment="1" applyProtection="0">
      <alignment vertical="center"/>
    </xf>
    <xf fontId="2" fillId="0" borderId="5" numFmtId="166" xfId="0" applyNumberFormat="1" applyFont="1" applyFill="1" applyAlignment="1" applyProtection="0">
      <alignment vertical="center"/>
    </xf>
    <xf fontId="2" fillId="0" borderId="6" numFmtId="0" xfId="0" applyNumberFormat="1" applyFont="1" applyFill="1" applyAlignment="1" applyProtection="0">
      <alignment vertical="top"/>
    </xf>
    <xf fontId="2" fillId="22" borderId="5" numFmtId="0" xfId="0" applyNumberFormat="1" applyFont="1" applyFill="1" applyAlignment="1" applyProtection="0">
      <alignment vertical="center"/>
    </xf>
    <xf fontId="2" fillId="23" borderId="5" numFmtId="0" xfId="0" applyNumberFormat="1" applyFont="1" applyFill="1" applyAlignment="1" applyProtection="0">
      <alignment vertical="center"/>
    </xf>
    <xf fontId="3" fillId="17" borderId="0" numFmtId="167" xfId="0" applyNumberFormat="1" applyFont="1" applyFill="1" applyAlignment="1" applyProtection="0">
      <alignment vertical="center"/>
    </xf>
    <xf fontId="2" fillId="0" borderId="5" numFmtId="164" xfId="0" applyNumberFormat="1" applyFont="1" applyFill="1" applyAlignment="1" applyProtection="0">
      <alignment vertical="center"/>
    </xf>
    <xf fontId="2" fillId="24" borderId="0" numFmtId="0" xfId="0" applyNumberFormat="1" applyFont="1" applyFill="1" applyAlignment="1" applyProtection="0">
      <alignment vertical="center"/>
    </xf>
    <xf fontId="2" fillId="0" borderId="0" numFmtId="0" xfId="0" applyNumberFormat="1" applyFont="1" applyFill="1" applyAlignment="1" applyProtection="0">
      <alignment vertical="center"/>
    </xf>
    <xf fontId="2" fillId="25" borderId="0" numFmtId="0" xfId="0" applyNumberFormat="1" applyFont="1" applyFill="1" applyAlignment="1" applyProtection="0">
      <alignment vertical="center"/>
    </xf>
    <xf fontId="2" fillId="0" borderId="0" numFmtId="166" xfId="0" applyNumberFormat="1" applyFont="1" applyFill="1" applyAlignment="1" applyProtection="0">
      <alignment vertical="center"/>
    </xf>
    <xf fontId="1" fillId="18" borderId="7" numFmtId="0" xfId="0" applyNumberFormat="1" applyFont="1" applyFill="1" applyAlignment="1" applyProtection="0">
      <alignment vertical="center"/>
    </xf>
    <xf fontId="1" fillId="0" borderId="7" numFmtId="0" xfId="0" applyNumberFormat="1" applyFont="1" applyFill="1" applyAlignment="1" applyProtection="0">
      <alignment vertical="top"/>
    </xf>
    <xf fontId="1" fillId="26" borderId="7" numFmtId="0" xfId="0" applyNumberFormat="1" applyFont="1" applyFill="1" applyAlignment="1" applyProtection="0">
      <alignment vertical="center"/>
    </xf>
    <xf fontId="1" fillId="27" borderId="0" numFmtId="0" xfId="0" applyNumberFormat="1" applyFont="1" applyFill="1" applyAlignment="1" applyProtection="0">
      <alignment vertical="center"/>
    </xf>
    <xf fontId="1" fillId="28" borderId="0" numFmtId="0" xfId="0" applyNumberFormat="1" applyFont="1" applyFill="1" applyAlignment="1" applyProtection="0">
      <alignment vertical="center"/>
    </xf>
    <xf fontId="1" fillId="0" borderId="0" numFmtId="0" xfId="0" applyNumberFormat="1" applyFont="1" applyFill="1" applyAlignment="1" applyProtection="0">
      <alignment vertical="center"/>
    </xf>
    <xf fontId="1" fillId="0" borderId="0" numFmtId="0" xfId="0" applyNumberFormat="1" applyFont="1" applyFill="1" applyAlignment="1" applyProtection="0">
      <alignment vertical="top"/>
    </xf>
    <xf fontId="1" fillId="0" borderId="1" numFmtId="164" xfId="0" applyNumberFormat="1" applyFont="1" applyFill="1" applyAlignment="1" applyProtection="0">
      <alignment vertical="center"/>
    </xf>
    <xf fontId="1" fillId="0" borderId="6" numFmtId="164" xfId="0" applyNumberFormat="1" applyFont="1" applyFill="1" applyAlignment="1" applyProtection="0">
      <alignment vertical="center"/>
    </xf>
    <xf fontId="2" fillId="29" borderId="0" numFmtId="0" xfId="0" applyNumberFormat="1" applyFont="1" applyFill="1" applyAlignment="1" applyProtection="0">
      <alignment vertical="center"/>
    </xf>
    <xf fontId="2" fillId="30" borderId="0" numFmtId="0" xfId="0" applyNumberFormat="1" applyFont="1" applyFill="1" applyAlignment="1" applyProtection="0">
      <alignment vertical="center"/>
    </xf>
    <xf fontId="2" fillId="31" borderId="0" numFmtId="0" xfId="0" applyNumberFormat="1" applyFont="1" applyFill="1" applyAlignment="1" applyProtection="0">
      <alignment vertical="center"/>
    </xf>
    <xf fontId="2" fillId="32" borderId="0" numFmtId="0" xfId="0" applyNumberFormat="1" applyFont="1" applyFill="1" applyAlignment="1" applyProtection="0">
      <alignment vertical="center"/>
    </xf>
    <xf fontId="2" fillId="33" borderId="0" numFmtId="0" xfId="0" applyNumberFormat="1" applyFont="1" applyFill="1" applyAlignment="1" applyProtection="0">
      <alignment vertical="center"/>
    </xf>
    <xf fontId="4" fillId="34" borderId="0" numFmtId="164" xfId="0" applyNumberFormat="1" applyFont="1" applyFill="1" applyAlignment="1" applyProtection="0">
      <alignment vertical="center"/>
    </xf>
    <xf fontId="4" fillId="0" borderId="0" numFmtId="167" xfId="0" applyNumberFormat="1" applyFont="1" applyFill="1" applyAlignment="1" applyProtection="0">
      <alignment vertical="center"/>
    </xf>
    <xf fontId="4" fillId="0" borderId="0" numFmtId="0" xfId="0" applyNumberFormat="1" applyFont="1" applyFill="1" applyAlignment="1" applyProtection="0">
      <alignment vertical="center"/>
    </xf>
    <xf fontId="4" fillId="34" borderId="0" numFmtId="0" xfId="0" applyNumberFormat="1" applyFont="1" applyFill="1" applyAlignment="1" applyProtection="0">
      <alignment vertical="center"/>
    </xf>
    <xf fontId="2" fillId="35" borderId="0" numFmtId="0" xfId="0" applyNumberFormat="1" applyFont="1" applyFill="1" applyAlignment="1" applyProtection="0">
      <alignment vertical="center"/>
    </xf>
    <xf fontId="2" fillId="36" borderId="0" numFmtId="0" xfId="0" applyNumberFormat="1" applyFont="1" applyFill="1" applyAlignment="1" applyProtection="0">
      <alignment vertical="center"/>
    </xf>
    <xf fontId="2" fillId="37" borderId="0" numFmtId="0" xfId="0" applyNumberFormat="1" applyFont="1" applyFill="1" applyAlignment="1" applyProtection="0">
      <alignment vertical="center"/>
    </xf>
    <xf fontId="2" fillId="0" borderId="0" numFmtId="0" xfId="0" applyNumberFormat="1" applyFont="1" applyFill="1" applyAlignment="1" applyProtection="0">
      <alignment vertical="top"/>
    </xf>
    <xf fontId="4" fillId="0" borderId="0" numFmtId="0" xfId="0" applyNumberFormat="1" applyFont="1" applyFill="1" applyAlignment="1" applyProtection="0">
      <alignment vertical="top"/>
    </xf>
    <xf fontId="1" fillId="38" borderId="0" numFmtId="0" xfId="0" applyNumberFormat="1" applyFont="1" applyFill="1" applyAlignment="1" applyProtection="0">
      <alignment vertical="center"/>
    </xf>
    <xf fontId="5" fillId="18" borderId="0" numFmtId="164" xfId="0" applyNumberFormat="1" applyFont="1" applyFill="1" applyAlignment="1" applyProtection="0">
      <alignment vertical="center"/>
    </xf>
    <xf fontId="1" fillId="39" borderId="0" numFmtId="0" xfId="0" applyNumberFormat="1" applyFont="1" applyFill="1" applyAlignment="1" applyProtection="0">
      <alignment vertical="center"/>
    </xf>
    <xf fontId="1" fillId="40" borderId="0" numFmtId="0" xfId="0" applyNumberFormat="1" applyFont="1" applyFill="1" applyAlignment="1" applyProtection="0">
      <alignment vertical="center"/>
    </xf>
    <xf fontId="6" fillId="18" borderId="0" numFmtId="164" xfId="0" applyNumberFormat="1" applyFont="1" applyFill="1" applyAlignment="1" applyProtection="0">
      <alignment vertical="center"/>
    </xf>
    <xf fontId="7" fillId="18" borderId="0" numFmtId="164" xfId="0" applyNumberFormat="1" applyFont="1" applyFill="1" applyAlignment="1" applyProtection="0">
      <alignment vertical="center"/>
    </xf>
    <xf fontId="1" fillId="41" borderId="0" numFmtId="0" xfId="0" applyNumberFormat="1" applyFont="1" applyFill="1" applyAlignment="1" applyProtection="0">
      <alignment vertical="center"/>
    </xf>
    <xf fontId="1" fillId="42" borderId="0" numFmtId="164" xfId="0" applyNumberFormat="1" applyFont="1" applyFill="1" applyAlignment="1" applyProtection="0">
      <alignment vertical="center"/>
    </xf>
    <xf fontId="1" fillId="42" borderId="0" numFmtId="0" xfId="0" applyNumberFormat="1" applyFont="1" applyFill="1" applyAlignment="1" applyProtection="0">
      <alignment vertical="center"/>
    </xf>
    <xf fontId="2" fillId="0" borderId="0" numFmtId="167" xfId="0" applyNumberFormat="1" applyFont="1" applyFill="1" applyAlignment="1" applyProtection="0">
      <alignment vertical="center"/>
    </xf>
    <xf fontId="1" fillId="9" borderId="0" numFmtId="164" xfId="0" applyNumberFormat="1" applyFont="1" applyFill="1" applyAlignment="1" applyProtection="0">
      <alignment vertical="center"/>
    </xf>
    <xf fontId="2" fillId="9" borderId="0" numFmtId="0" xfId="0" applyNumberFormat="1" applyFont="1" applyFill="1" applyAlignment="1" applyProtection="0">
      <alignment vertical="center"/>
    </xf>
    <xf fontId="2" fillId="9" borderId="0" numFmtId="167" xfId="0" applyNumberFormat="1" applyFont="1" applyFill="1" applyAlignment="1" applyProtection="0">
      <alignment vertical="center"/>
    </xf>
    <xf fontId="2" fillId="43" borderId="0" numFmtId="0" xfId="0" applyNumberFormat="1" applyFont="1" applyFill="1" applyAlignment="1" applyProtection="0">
      <alignment vertical="center"/>
    </xf>
    <xf fontId="3" fillId="43" borderId="0" numFmtId="0" xfId="0" applyNumberFormat="1" applyFont="1" applyFill="1" applyAlignment="1" applyProtection="0">
      <alignment vertical="center"/>
    </xf>
    <xf fontId="2" fillId="34" borderId="0" numFmtId="164" xfId="0" applyNumberFormat="1" applyFont="1" applyFill="1" applyAlignment="1" applyProtection="0">
      <alignment vertical="center"/>
    </xf>
    <xf fontId="2" fillId="34" borderId="0" numFmtId="0" xfId="0" applyNumberFormat="1" applyFont="1" applyFill="1" applyAlignment="1" applyProtection="0">
      <alignment vertical="center"/>
    </xf>
    <xf fontId="3" fillId="43" borderId="0" numFmtId="164" xfId="0" applyNumberFormat="1" applyFont="1" applyFill="1" applyAlignment="1" applyProtection="0">
      <alignment vertical="center"/>
    </xf>
    <xf fontId="2" fillId="19" borderId="1" numFmtId="0" xfId="0" applyNumberFormat="1" applyFont="1" applyFill="1" applyAlignment="1" applyProtection="0">
      <alignment vertical="center"/>
    </xf>
    <xf fontId="2" fillId="0" borderId="1" numFmtId="164" xfId="0" applyNumberFormat="1" applyFont="1" applyFill="1" applyAlignment="1" applyProtection="0">
      <alignment vertical="center"/>
    </xf>
    <xf fontId="2" fillId="44" borderId="1" numFmtId="0" xfId="0" applyNumberFormat="1" applyFont="1" applyFill="1" applyAlignment="1" applyProtection="0">
      <alignment vertical="center"/>
    </xf>
    <xf fontId="2" fillId="0" borderId="1" numFmtId="0" xfId="0" applyNumberFormat="1" applyFont="1" applyFill="1" applyAlignment="1" applyProtection="0">
      <alignment vertical="center"/>
    </xf>
    <xf fontId="2" fillId="9" borderId="0" numFmtId="164" xfId="0" applyNumberFormat="1" applyFont="1" applyFill="1" applyAlignment="1" applyProtection="0">
      <alignment vertical="center"/>
    </xf>
  </cellXfs>
  <cellStyles count="1">
    <cellStyle name="Default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10" Type="http://schemas.openxmlformats.org/officeDocument/2006/relationships/worksheet" Target="worksheets/sheet10.xml"/><Relationship  Id="rId11" Type="http://schemas.openxmlformats.org/officeDocument/2006/relationships/worksheet" Target="worksheets/sheet11.xml"/><Relationship  Id="rId12" Type="http://schemas.openxmlformats.org/officeDocument/2006/relationships/worksheet" Target="worksheets/sheet12.xml"/><Relationship  Id="rId13" Type="http://schemas.openxmlformats.org/officeDocument/2006/relationships/worksheet" Target="worksheets/sheet13.xml"/><Relationship  Id="rId14" Type="http://schemas.openxmlformats.org/officeDocument/2006/relationships/worksheet" Target="worksheets/sheet14.xml"/><Relationship  Id="rId15" Type="http://schemas.openxmlformats.org/officeDocument/2006/relationships/worksheet" Target="worksheets/sheet15.xml"/><Relationship  Id="rId16" Type="http://schemas.openxmlformats.org/officeDocument/2006/relationships/worksheet" Target="worksheets/sheet16.xml"/><Relationship  Id="rId17" Type="http://schemas.openxmlformats.org/officeDocument/2006/relationships/worksheet" Target="worksheets/sheet17.xml"/><Relationship  Id="rId18" Type="http://schemas.openxmlformats.org/officeDocument/2006/relationships/worksheet" Target="worksheets/sheet18.xml"/><Relationship  Id="rId19" Type="http://schemas.openxmlformats.org/officeDocument/2006/relationships/worksheet" Target="worksheets/sheet19.xml"/><Relationship  Id="rId2" Type="http://schemas.openxmlformats.org/officeDocument/2006/relationships/worksheet" Target="worksheets/sheet2.xml"/><Relationship  Id="rId20" Type="http://schemas.openxmlformats.org/officeDocument/2006/relationships/worksheet" Target="worksheets/sheet20.xml"/><Relationship  Id="rId21" Type="http://schemas.openxmlformats.org/officeDocument/2006/relationships/worksheet" Target="worksheets/sheet21.xml"/><Relationship  Id="rId22" Type="http://schemas.openxmlformats.org/officeDocument/2006/relationships/worksheet" Target="worksheets/sheet22.xml"/><Relationship  Id="rId23" Type="http://schemas.openxmlformats.org/officeDocument/2006/relationships/worksheet" Target="worksheets/sheet23.xml"/><Relationship  Id="rId24" Type="http://schemas.openxmlformats.org/officeDocument/2006/relationships/worksheet" Target="worksheets/sheet24.xml"/><Relationship  Id="rId25" Type="http://schemas.openxmlformats.org/officeDocument/2006/relationships/worksheet" Target="worksheets/sheet25.xml"/><Relationship  Id="rId26" Type="http://schemas.openxmlformats.org/officeDocument/2006/relationships/worksheet" Target="worksheets/sheet26.xml"/><Relationship  Id="rId27" Type="http://schemas.openxmlformats.org/officeDocument/2006/relationships/worksheet" Target="worksheets/sheet27.xml"/><Relationship  Id="rId28" Type="http://schemas.openxmlformats.org/officeDocument/2006/relationships/worksheet" Target="worksheets/sheet28.xml"/><Relationship  Id="rId29" Type="http://schemas.openxmlformats.org/officeDocument/2006/relationships/worksheet" Target="worksheets/sheet29.xml"/><Relationship  Id="rId3" Type="http://schemas.openxmlformats.org/officeDocument/2006/relationships/worksheet" Target="worksheets/sheet3.xml"/><Relationship  Id="rId30" Type="http://schemas.openxmlformats.org/officeDocument/2006/relationships/worksheet" Target="worksheets/sheet30.xml"/><Relationship  Id="rId31" Type="http://schemas.openxmlformats.org/officeDocument/2006/relationships/worksheet" Target="worksheets/sheet31.xml"/><Relationship  Id="rId32" Type="http://schemas.openxmlformats.org/officeDocument/2006/relationships/worksheet" Target="worksheets/sheet32.xml"/><Relationship  Id="rId33" Type="http://schemas.openxmlformats.org/officeDocument/2006/relationships/worksheet" Target="worksheets/sheet33.xml"/><Relationship  Id="rId34" Type="http://schemas.openxmlformats.org/officeDocument/2006/relationships/worksheet" Target="worksheets/sheet34.xml"/><Relationship  Id="rId35" Type="http://schemas.openxmlformats.org/officeDocument/2006/relationships/sharedStrings" Target="sharedStrings.xml"/><Relationship  Id="rId36" Type="http://schemas.openxmlformats.org/officeDocument/2006/relationships/styles" Target="styles.xml"/><Relationship  Id="rId4" Type="http://schemas.openxmlformats.org/officeDocument/2006/relationships/worksheet" Target="worksheets/sheet4.xml"/><Relationship  Id="rId5" Type="http://schemas.openxmlformats.org/officeDocument/2006/relationships/worksheet" Target="worksheets/sheet5.xml"/><Relationship  Id="rId6" Type="http://schemas.openxmlformats.org/officeDocument/2006/relationships/worksheet" Target="worksheets/sheet6.xml"/><Relationship  Id="rId7" Type="http://schemas.openxmlformats.org/officeDocument/2006/relationships/worksheet" Target="worksheets/sheet7.xml"/><Relationship  Id="rId8" Type="http://schemas.openxmlformats.org/officeDocument/2006/relationships/worksheet" Target="worksheets/sheet8.xml"/><Relationship  Id="rId9" Type="http://schemas.openxmlformats.org/officeDocument/2006/relationships/worksheet" Target="worksheets/sheet9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321999999999997"/>
    <col customWidth="1" min="2" max="2" width="10.6036"/>
    <col customWidth="1" min="3" max="3" width="14.994"/>
    <col customWidth="1" min="4" max="4" width="14.994"/>
    <col customWidth="1" min="5" max="5" width="14.994"/>
    <col customWidth="1" min="6" max="6" width="8.6142000000000003"/>
    <col customWidth="1" min="7" max="7" width="11.9756"/>
    <col customWidth="1" min="8" max="8" width="10.211600000000001"/>
    <col customWidth="1" min="9" max="9" width="12.5146"/>
    <col customWidth="1" min="10" max="10" width="10.6722"/>
    <col customWidth="1" min="11" max="11" width="5.782"/>
    <col customWidth="1" min="12" max="12" width="10.7408"/>
    <col customWidth="1" min="13" max="13" width="12.1226"/>
    <col customWidth="1" min="14" max="14" width="11.6914"/>
    <col customWidth="1" min="15" max="15" width="11.956"/>
    <col customWidth="1" min="16" max="16" width="11.9756"/>
    <col customWidth="1" min="17" max="17" width="7.7224000000000004"/>
    <col customWidth="1" min="18" max="18" width="9.6725999999999992"/>
    <col customWidth="1" min="19" max="19" width="9.6725999999999992"/>
    <col customWidth="1" min="20" max="20" width="9.6725999999999992"/>
    <col customWidth="1" min="21" max="21" width="14.219799999999999"/>
    <col customWidth="1" min="22" max="22" width="11.583600000000001"/>
    <col customWidth="1" min="23" max="23" width="10.495799999999999"/>
    <col customWidth="1" min="24" max="24" width="10.025399999999999"/>
    <col customWidth="1" min="25" max="25" width="11.524800000000001"/>
    <col customWidth="1" min="26" max="26" width="9.6432000000000002"/>
    <col customWidth="1" min="27" max="27" width="9.6432000000000002"/>
    <col customWidth="1" min="28" max="1024" width="9.6432000000000002"/>
  </cols>
  <sheetData>
    <row r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2" t="s">
        <v>23</v>
      </c>
      <c r="Y1" s="13" t="s">
        <v>24</v>
      </c>
      <c r="Z1" s="14" t="s">
        <v>25</v>
      </c>
      <c r="AA1" s="14" t="s">
        <v>26</v>
      </c>
    </row>
    <row r="2">
      <c r="A2" s="15">
        <v>1</v>
      </c>
      <c r="B2" s="16" t="s">
        <v>27</v>
      </c>
      <c r="C2" s="17">
        <f>Sum(C2,C2,C2,C2,C2,C2,C2,C2,C2,C2,C2,C2,C2,C2,C2,C2,C2,C2,C2,C2,C2,C2,C2,C2,C2,C2)</f>
        <v>0.43541666666666667</v>
      </c>
      <c r="D2" s="17">
        <f>Sum(G2,G2,G2,G2,G2,G2,G2,G2,G2,G2,G2,G2,G2,G2,G2,G2,G2,G2,G2,G2,G2,G2,G2,G2,G2,G2)</f>
        <v>0.2170138888888889</v>
      </c>
      <c r="E2" s="17">
        <f>Sum(K2,K2,K2,K2,K2,K2,K2,K2,K2,K2,K2,K2,K2,K2,K2,K2,K2,K2,K2,K2,K2,K2,K2,K2,K2,K2)</f>
        <v>0.21840277777777778</v>
      </c>
      <c r="F2" s="17">
        <f>Sum(O2,O2,O2,O2,O2,O2,O2,O2,O2,O2,O2,O2,O2,O2,O2,O2,O2,O2,O2,O2,O2,O2,O2,O2,O2,O2)</f>
        <v>19</v>
      </c>
      <c r="G2" s="17">
        <f>Sum(D2,D2,D2,D2,D2,D2,D2,D2,D2,D2,D2,D2,D2,D2,D2,D2,D2,D2,D2,D2,D2,D2,D2,D2,D2,D2)</f>
        <v>15</v>
      </c>
      <c r="H2" s="17">
        <f>F2-G2</f>
        <v>4</v>
      </c>
      <c r="I2" s="17">
        <f>Sum(H2,H2,H2,H2,H2,H2,H2,H2,H2,H2,H2,H2,H2,H2,H2,H2,H2,H2,H2,H2,H2,H2,H2,H2,H2,H2)</f>
        <v>14</v>
      </c>
      <c r="J2" s="17">
        <f>F2-I2</f>
        <v>5</v>
      </c>
      <c r="K2" s="17">
        <f>Sum(L2,L2,L2,L2,L2,L2,L2,L2,L2,L2,L2,L2,L2,L2,L2,L2,L2,L2,L2,L2,L2,L2,L2,L2,L2,L2)</f>
        <v>0</v>
      </c>
      <c r="L2" s="17">
        <f>Sum(M2,M2,M2,M2,M2,M2,M2,M2,M2,M2,M2,M2,M2,M2,M2,M2,M2,M2,M2,M2,M2,M2,M2,M2,M2,M2)</f>
        <v>0</v>
      </c>
      <c r="M2" s="18">
        <f>G2/F2</f>
        <v>0.78949999999999998</v>
      </c>
      <c r="N2" s="18">
        <f>H2/F2</f>
        <v>0.21049999999999999</v>
      </c>
      <c r="O2" s="18">
        <f>I2/F2</f>
        <v>0.73680000000000001</v>
      </c>
      <c r="P2" s="18">
        <f>J2/F2</f>
        <v>0.26319999999999999</v>
      </c>
      <c r="Q2" s="19">
        <f>C2/Z2</f>
        <v>2.2916666666666665e-02</v>
      </c>
      <c r="R2" s="20">
        <f>C2/F2</f>
        <v>2.2916666666666665e-02</v>
      </c>
      <c r="S2" s="20">
        <f>D2/F2</f>
        <v>1.1412037037037037e-02</v>
      </c>
      <c r="T2" s="20">
        <f>E2/F2</f>
        <v>1.1493055555555555e-02</v>
      </c>
      <c r="U2" s="21">
        <f>Average(Z2/F2)</f>
        <v>1</v>
      </c>
      <c r="V2" s="22">
        <f>C2/L2</f>
      </c>
      <c r="W2" s="23">
        <f>L2/F2</f>
        <v>0</v>
      </c>
      <c r="X2" s="24">
        <f>K19+X6</f>
        <v>115</v>
      </c>
      <c r="Y2" s="24">
        <f>Sum(N18,N18,N18,N18,N18,N18,N18,N18,N18,N18,N18,N18,N18,N18,N18,N18,N18,N18,N18,N18,N18,N18,N18,N18,N18,N18)</f>
        <v>39</v>
      </c>
      <c r="Z2" s="25">
        <v>19</v>
      </c>
      <c r="AA2" s="25">
        <v>20</v>
      </c>
    </row>
    <row r="3">
      <c r="A3" s="26">
        <v>2</v>
      </c>
      <c r="B3" s="27" t="s">
        <v>28</v>
      </c>
      <c r="C3" s="28">
        <f>Sum(C3,C3,C3,C3,C3,C3,C3,C3,C3,C3,C3,C3,C3,C3,C3,C3,C3,C3,C3,C3,C3,C3,C3,C3,C3,C3)</f>
        <v>0.2454861111111111</v>
      </c>
      <c r="D3" s="28">
        <f>Sum(G3,G3,G3,G3,G3,G3,G3,G3,G3,G3,G3,G3,G3,G3,G3,G3,G3,G3,G3,G3,G3,G3,G3,G3,G3,G3)</f>
        <v>0.109375</v>
      </c>
      <c r="E3" s="28">
        <f>Sum(K3,K3,K3,K3,K3,K3,K3,K3,K3,K3,K3,K3,K3,K3,K3,K3,K3,K3,K3,K3,K3,K3,K3,K3,K3,K3)</f>
        <v>0.1361111111111111</v>
      </c>
      <c r="F3" s="24">
        <f>Sum(O3,O3,O3,O3,O3,O3,O3,O3,O3,O3,O3,O3,O3,O3,O3,O3,O3,O3,O3,O3,O3,O3,O3,O3,O3,O3)</f>
        <v>17</v>
      </c>
      <c r="G3" s="24">
        <f>Sum(D3,D3,D3,D3,D3,D3,D3,D3,D3,D3,D3,D3,D3,D3,D3,D3,D3,D3,D3,D3,D3,D3,D3,D3,D3,D3)</f>
        <v>1</v>
      </c>
      <c r="H3" s="24">
        <f>F3-G3</f>
        <v>16</v>
      </c>
      <c r="I3" s="24">
        <f>Sum(H3,H3,H3,H3,H3,H3,H3,H3,H3,H3,H3,H3,H3,H3,H3,H3,H3,H3,H3,H3,H3,H3,H3,H3,H3,H3)</f>
        <v>8</v>
      </c>
      <c r="J3" s="24">
        <f>F3-I3</f>
        <v>9</v>
      </c>
      <c r="K3" s="24">
        <f>Sum(L3,L3,L3,L3,L3,L3,L3,L3,L3,L3,L3,L3,L3,L3,L3,L3,L3,L3,L3,L3,L3,L3,L3,L3,L3,L3)</f>
        <v>3</v>
      </c>
      <c r="L3" s="24">
        <f>Sum(M3,M3,M3,M3,M3,M3,M3,M3,M3,M3,M3,M3,M3,M3,M3,M3,M3,M3,M3,M3,M3,M3,M3,M3,M3,M3)</f>
        <v>1</v>
      </c>
      <c r="M3" s="29">
        <f>G3/F3</f>
        <v>5.8799999999999998e-02</v>
      </c>
      <c r="N3" s="29">
        <f>H3/F3</f>
        <v>0.94120000000000004</v>
      </c>
      <c r="O3" s="29">
        <f>I3/F3</f>
        <v>0.47060000000000002</v>
      </c>
      <c r="P3" s="29">
        <f>J3/F3</f>
        <v>0.52939999999999998</v>
      </c>
      <c r="Q3" s="28">
        <f>C3/K3</f>
        <v>8.1828703703703709e-02</v>
      </c>
      <c r="R3" s="28">
        <f>C3/F3</f>
        <v>1.443287037037037e-02</v>
      </c>
      <c r="S3" s="28">
        <f>D3/F3</f>
        <v>6.4236111111111108e-03</v>
      </c>
      <c r="T3" s="28">
        <f>E3/F3</f>
        <v>7.9976851851851858e-03</v>
      </c>
      <c r="U3" s="28">
        <f>K3/F3</f>
        <v>0.17649999999999999</v>
      </c>
      <c r="V3" s="28">
        <f>C3/L3</f>
        <v>0.2454861111111111</v>
      </c>
      <c r="W3" s="28">
        <f>L3/F3</f>
        <v>5.8799999999999998e-02</v>
      </c>
      <c r="X3" s="30" t="s">
        <v>29</v>
      </c>
      <c r="Y3" s="31"/>
      <c r="Z3" s="32"/>
      <c r="AA3" s="32"/>
    </row>
    <row r="4">
      <c r="A4" s="15">
        <v>3</v>
      </c>
      <c r="B4" s="16" t="s">
        <v>30</v>
      </c>
      <c r="C4" s="23">
        <f>Sum(C4,C4,C4,C4,C4,C4,C4,C4,C4,C4,C4,C4,C4,C4,C4,C4,C4,C4,C4,C4,C4,C4,C4,C4,C4,C4)</f>
        <v>0.42083333333333334</v>
      </c>
      <c r="D4" s="23">
        <f>Sum(G4,G4,G4,G4,G4,G4,G4,G4,G4,G4,G4,G4,G4,G4,G4,G4,G4,G4,G4,G4,G4,G4,G4,G4,G4,G4)</f>
        <v>0.2076388888888889</v>
      </c>
      <c r="E4" s="23">
        <f>Sum(K4,K4,K4,K4,K4,K4,K4,K4,K4,K4,K4,K4,K4,K4,K4,K4,K4,K4,K4,K4,K4,K4,K4,K4,K4,K4)</f>
        <v>0.21319444444444444</v>
      </c>
      <c r="F4" s="17">
        <f>Sum(O4,O4,O4,O4,O4,O4,O4,O4,O4,O4,O4,O4,O4,O4,O4,O4,O4,O4,O4,O4,O4,O4,O4,O4,O4,O4)</f>
        <v>19</v>
      </c>
      <c r="G4" s="17">
        <f>Sum(D4,D4,D4,D4,D4,D4,D4,D4,D4,D4,D4,D4,D4,D4,D4,D4,D4,D4,D4,D4,D4,D4,D4,D4,D4,D4)</f>
        <v>17</v>
      </c>
      <c r="H4" s="17">
        <f>F4-G4</f>
        <v>2</v>
      </c>
      <c r="I4" s="17">
        <f>Sum(H4,H4,H4,H4,H4,H4,H4,H4,H4,H4,H4,H4,H4,H4,H4,H4,H4,H4,H4,H4,H4,H4,H4,H4,H4,H4)</f>
        <v>13</v>
      </c>
      <c r="J4" s="17">
        <f>F4-I4</f>
        <v>6</v>
      </c>
      <c r="K4" s="17">
        <f>Sum(L4,L4,L4,L4,L4,L4,L4,L4,L4,L4,L4,L4,L4,L4,L4,L4,L4,L4,L4,L4,L4,L4,L4,L4,L4,L4)</f>
        <v>4</v>
      </c>
      <c r="L4" s="17">
        <f>Sum(M4,M4,M4,M4,M4,M4,M4,M4,M4,M4,M4,M4,M4,M4,M4,M4,M4,M4,M4,M4,M4,M4,M4,M4,M4,M4)</f>
        <v>1</v>
      </c>
      <c r="M4" s="20">
        <f>G4/F4</f>
        <v>0.89470000000000005</v>
      </c>
      <c r="N4" s="20">
        <f>H4/F4</f>
        <v>0.1053</v>
      </c>
      <c r="O4" s="20">
        <f>I4/F4</f>
        <v>0.68420000000000003</v>
      </c>
      <c r="P4" s="20">
        <f>J4/F4</f>
        <v>0.31580000000000003</v>
      </c>
      <c r="Q4" s="23">
        <f>C4/K4</f>
        <v>0.10520833333333333</v>
      </c>
      <c r="R4" s="23">
        <f>C4/F4</f>
        <v>2.2141203703703705e-02</v>
      </c>
      <c r="S4" s="23">
        <f>D4/F4</f>
        <v>1.0925925925925926e-02</v>
      </c>
      <c r="T4" s="23">
        <f>E4/F4</f>
        <v>1.1215277777777777e-02</v>
      </c>
      <c r="U4" s="23">
        <f>K4/F4</f>
        <v>0.21049999999999999</v>
      </c>
      <c r="V4" s="23">
        <f>C4/L4</f>
        <v>0.42083333333333334</v>
      </c>
      <c r="W4" s="23">
        <f>L4/F4</f>
        <v>5.2600000000000001e-02</v>
      </c>
      <c r="X4" s="24">
        <f>X2-Y2</f>
        <v>76</v>
      </c>
      <c r="Y4" s="33"/>
      <c r="Z4" s="34"/>
      <c r="AA4" s="34"/>
    </row>
    <row r="5">
      <c r="A5" s="26">
        <v>4</v>
      </c>
      <c r="B5" s="27" t="s">
        <v>31</v>
      </c>
      <c r="C5" s="28">
        <f>Sum(C5,C5,C5,C5,C5,C5,C5,C5,C5,C5,C5,C5,C5,C5,C5,C5,C5,C5,C5,C5,C5,C5,C5,C5,C5,C5)</f>
        <v>0.31770833333333331</v>
      </c>
      <c r="D5" s="28">
        <f>Sum(G5,G5,G5,G5,G5,G5,G5,G5,G5,G5,G5,G5,G5,G5,G5,G5,G5,G5,G5,G5,G5,G5,G5,G5,G5,G5)</f>
        <v>0.16041666666666668</v>
      </c>
      <c r="E5" s="28">
        <f>Sum(K5,K5,K5,K5,K5,K5,K5,K5,K5,K5,K5,K5,K5,K5,K5,K5,K5,K5,K5,K5,K5,K5,K5,K5,K5,K5)</f>
        <v>0.15729166666666666</v>
      </c>
      <c r="F5" s="24">
        <f>Sum(O5,O5,O5,O5,O5,O5,O5,O5,O5,O5,O5,O5,O5,O5,O5,O5,O5,O5,O5,O5,O5,O5,O5,O5,O5,O5)</f>
        <v>19</v>
      </c>
      <c r="G5" s="24">
        <f>Sum(D5,D5,D5,D5,D5,D5,D5,D5,D5,D5,D5,D5,D5,D5,D5,D5,D5,D5,D5,D5,D5,D5,D5,D5,D5,D5)</f>
        <v>6</v>
      </c>
      <c r="H5" s="24">
        <f>F5-G5</f>
        <v>13</v>
      </c>
      <c r="I5" s="24">
        <f>Sum(H5,H5,H5,H5,H5,H5,H5,H5,H5,H5,H5,H5,H5,H5,H5,H5,H5,H5,H5,H5,H5,H5,H5,H5,H5,H5)</f>
        <v>13</v>
      </c>
      <c r="J5" s="24">
        <f>F5-I5</f>
        <v>6</v>
      </c>
      <c r="K5" s="24">
        <f>Sum(L5,L5,L5,L5,L5,L5,L5,L5,L5,L5,L5,L5,L5,L5,L5,L5,L5,L5,L5,L5,L5,L5,L5,L5,L5,L5)</f>
        <v>0</v>
      </c>
      <c r="L5" s="24">
        <f>Sum(M5,M5,M5,M5,M5,M5,M5,M5,M5,M5,M5,M5,M5,M5,M5,M5,M5,M5,M5,M5,M5,M5,M5,M5,M5,M5)</f>
        <v>1</v>
      </c>
      <c r="M5" s="29">
        <f>G5/F5</f>
        <v>0.31580000000000003</v>
      </c>
      <c r="N5" s="29">
        <f>H5/F5</f>
        <v>0.68420000000000003</v>
      </c>
      <c r="O5" s="29">
        <f>I5/F5</f>
        <v>0.68420000000000003</v>
      </c>
      <c r="P5" s="29">
        <f>J5/F5</f>
        <v>0.31580000000000003</v>
      </c>
      <c r="Q5" s="35">
        <f>C5/K5</f>
      </c>
      <c r="R5" s="35">
        <f>C5/F5</f>
        <v>1.6712962962962964e-02</v>
      </c>
      <c r="S5" s="35">
        <f>D5/F5</f>
        <v>8.4375000000000006e-03</v>
      </c>
      <c r="T5" s="35">
        <f>E5/F5</f>
        <v>8.2754629629629636e-03</v>
      </c>
      <c r="U5" s="28">
        <f>K5/F5</f>
        <v>0</v>
      </c>
      <c r="V5" s="35">
        <f>C5/L5</f>
        <v>0.31770833333333331</v>
      </c>
      <c r="W5" s="28">
        <f>L5/F5</f>
        <v>5.2600000000000001e-02</v>
      </c>
      <c r="X5" s="36" t="s">
        <v>32</v>
      </c>
      <c r="Y5" s="33"/>
      <c r="Z5" s="32"/>
      <c r="AA5" s="32"/>
    </row>
    <row r="6">
      <c r="A6" s="15">
        <v>5</v>
      </c>
      <c r="B6" s="16" t="s">
        <v>33</v>
      </c>
      <c r="C6" s="37">
        <f>Sum(C6,C6,C6,C6,C6,C6,C6,C6,C6,C6,C6,C6,C6,C6,C6,C6,C6,C6,C6,C6,C6,C6,C6,C6,C6,C6)</f>
        <v>0.65590277777777772</v>
      </c>
      <c r="D6" s="37">
        <f>Sum(G6,G6,G6,G6,G6,G6,G6,G6,G6,G6,G6,G6,G6,G6,G6,G6,G6,G6,G6,G6,G6,G6,G6,G6,G6,G6)</f>
        <v>0.32569444444444445</v>
      </c>
      <c r="E6" s="37">
        <f>Sum(K6,K6,K6,K6,K6,K6,K6,K6,K6,K6,K6,K6,K6,K6,K6,K6,K6,K6,K6,K6,K6,K6,K6,K6,K6,K6)</f>
        <v>0.33020833333333333</v>
      </c>
      <c r="F6" s="17">
        <f>Sum(O6,O6,O6,O6,O6,O6,O6,O6,O6,O6,O6,O6,O6,O6,O6,O6,O6,O6,O6,O6,O6,O6,O6,O6,O6,O6)</f>
        <v>22</v>
      </c>
      <c r="G6" s="17">
        <f>Sum(D6,D6,D6,D6,D6,D6,D6,D6,D6,D6,D6,D6,D6,D6,D6,D6,D6,D6,D6,D6,D6,D6,D6,D6,D6,D6)</f>
        <v>20</v>
      </c>
      <c r="H6" s="17">
        <f>F6-G6</f>
        <v>2</v>
      </c>
      <c r="I6" s="17">
        <f>Sum(H6,H6,H6,H6,H6,H6,H6,H6,H6,H6,H6,H6,H6,H6,H6,H6,H6,H6,H6,H6,H6,H6,H6,H6,H6,H6)</f>
        <v>19</v>
      </c>
      <c r="J6" s="17">
        <f>F6-I6</f>
        <v>3</v>
      </c>
      <c r="K6" s="17">
        <f>Sum(L6,L6,L6,L6,L6,L6,L6,L6,L6,L6,L6,L6,L6,L6,L6,L6,L6,L6,L6,L6,L6,L6,L6,L6,L6,L6)</f>
        <v>14</v>
      </c>
      <c r="L6" s="17">
        <f>Sum(M6,M6,M6,M6,M6,M6,M6,M6,M6,M6,M6,M6,M6,M6,M6,M6,M6,M6,M6,M6,M6,M6,M6,M6,M6,M6)</f>
        <v>6</v>
      </c>
      <c r="M6" s="20">
        <f>G6/F6</f>
        <v>0.90910000000000002</v>
      </c>
      <c r="N6" s="20">
        <f>H6/F6</f>
        <v>9.0899999999999995e-02</v>
      </c>
      <c r="O6" s="20">
        <f>I6/F6</f>
        <v>0.86360000000000003</v>
      </c>
      <c r="P6" s="20">
        <f>J6/F6</f>
        <v>0.13639999999999999</v>
      </c>
      <c r="Q6" s="37">
        <f>C6/K6</f>
        <v>4.6840277777777779e-02</v>
      </c>
      <c r="R6" s="37">
        <f>C6/F6</f>
        <v>2.9803240740740741e-02</v>
      </c>
      <c r="S6" s="37">
        <f>D6/F6</f>
        <v>1.480324074074074e-02</v>
      </c>
      <c r="T6" s="37">
        <f>E6/F6</f>
        <v>1.4999999999999999e-02</v>
      </c>
      <c r="U6" s="23">
        <f>K6/F6</f>
        <v>0.63639999999999997</v>
      </c>
      <c r="V6" s="37">
        <f>C6/L6</f>
        <v>0.10931712962962963</v>
      </c>
      <c r="W6" s="23">
        <f>L6/F6</f>
        <v>0.2727</v>
      </c>
      <c r="X6" s="38">
        <f>Sum(L18,L18,L18,L18,L18,L18,L18,L18,L18,L18,L18,L18,L18,L18,L18,L18,L18,L18,L18,L18,L18,L18,L18,L18,L18,L18)</f>
        <v>7</v>
      </c>
      <c r="Y6" s="39"/>
      <c r="Z6" s="34"/>
      <c r="AA6" s="34"/>
    </row>
    <row r="7">
      <c r="A7" s="26">
        <v>6</v>
      </c>
      <c r="B7" s="27" t="s">
        <v>34</v>
      </c>
      <c r="C7" s="35">
        <f>Sum(C7,C7,C7,C7,C7,C7,C7,C7,C7,C7,C7,C7,C7,C7,C7,C7,C7,C7,C7,C7,C7,C7,C7,C7,C7,C7)</f>
        <v>0.3576388888888889</v>
      </c>
      <c r="D7" s="35">
        <f>Sum(G7,G7,G7,G7,G7,G7,G7,G7,G7,G7,G7,G7,G7,G7,G7,G7,G7,G7,G7,G7,G7,G7,G7,G7,G7,G7)</f>
        <v>0.16041666666666668</v>
      </c>
      <c r="E7" s="35">
        <f>Sum(K7,K7,K7,K7,K7,K7,K7,K7,K7,K7,K7,K7,K7,K7,K7,K7,K7,K7,K7,K7,K7,K7,K7,K7,K7,K7)</f>
        <v>0.19722222222222222</v>
      </c>
      <c r="F7" s="24">
        <f>Sum(O7,O7,O7,O7,O7,O7,O7,O7,O7,O7,O7,O7,O7,O7,O7,O7,O7,O7,O7,O7,O7,O7,O7,O7,O7,O7)</f>
        <v>20</v>
      </c>
      <c r="G7" s="24">
        <f>Sum(D7,D7,D7,D7,D7,D7,D7,D7,D7,D7,D7,D7,D7,D7,D7,D7,D7,D7,D7,D7,D7,D7,D7,D7,D7,D7)</f>
        <v>2</v>
      </c>
      <c r="H7" s="24">
        <f>F7-G7</f>
        <v>18</v>
      </c>
      <c r="I7" s="24">
        <f>Sum(H7,H7,H7,H7,H7,H7,H7,H7,H7,H7,H7,H7,H7,H7,H7,H7,H7,H7,H7,H7,H7,H7,H7,H7,H7,H7)</f>
        <v>7</v>
      </c>
      <c r="J7" s="24">
        <f>F7-I7</f>
        <v>13</v>
      </c>
      <c r="K7" s="24">
        <f>Sum(L7,L7,L7,L7,L7,L7,L7,L7,L7,L7,L7,L7,L7,L7,L7,L7,L7,L7,L7,L7,L7,L7,L7,L7,L7,L7)</f>
        <v>1</v>
      </c>
      <c r="L7" s="24">
        <f>Sum(M7,M7,M7,M7,M7,M7,M7,M7,M7,M7,M7,M7,M7,M7,M7,M7,M7,M7,M7,M7,M7,M7,M7,M7,M7,M7)</f>
        <v>0</v>
      </c>
      <c r="M7" s="29">
        <f>G7/F7</f>
        <v>0.10000000000000001</v>
      </c>
      <c r="N7" s="29">
        <f>H7/F7</f>
        <v>0.90000000000000002</v>
      </c>
      <c r="O7" s="29">
        <f>I7/F7</f>
        <v>0.34999999999999998</v>
      </c>
      <c r="P7" s="29">
        <f>J7/F7</f>
        <v>0.65000000000000002</v>
      </c>
      <c r="Q7" s="35">
        <f>C7/K7</f>
        <v>0.3576388888888889</v>
      </c>
      <c r="R7" s="35">
        <f>C7/F7</f>
        <v>1.7881944444444443e-02</v>
      </c>
      <c r="S7" s="35">
        <f>D7/F7</f>
        <v>8.0208333333333329e-03</v>
      </c>
      <c r="T7" s="35">
        <f>E7/F7</f>
        <v>9.8611111111111104e-03</v>
      </c>
      <c r="U7" s="28">
        <f>K7/F7</f>
        <v>5.0000000000000003e-02</v>
      </c>
      <c r="V7" s="28">
        <f>C7/L7</f>
      </c>
      <c r="W7" s="28">
        <f>L7/F7</f>
        <v>0</v>
      </c>
      <c r="X7" s="40" t="s">
        <v>35</v>
      </c>
      <c r="Y7" s="39"/>
      <c r="Z7" s="34"/>
      <c r="AA7" s="34"/>
    </row>
    <row r="8">
      <c r="A8" s="15">
        <v>7</v>
      </c>
      <c r="B8" s="16" t="s">
        <v>36</v>
      </c>
      <c r="C8" s="37">
        <f>Sum(C8,C8,C8,C8,C8,C8,C8,C8,C8,C8,C8,C8,C8,C8,C8,C8,C8,C8,C8,C8,C8,C8,C8,C8,C8,C8)</f>
        <v>0.45208333333333334</v>
      </c>
      <c r="D8" s="37">
        <f>Sum(G8,G8,G8,G8,G8,G8,G8,G8,G8,G8,G8,G8,G8,G8,G8,G8,G8,G8,G8,G8,G8,G8,G8,G8,G8,G8)</f>
        <v>0.22152777777777777</v>
      </c>
      <c r="E8" s="37">
        <f>Sum(K8,K8,K8,K8,K8,K8,K8,K8,K8,K8,K8,K8,K8,K8,K8,K8,K8,K8,K8,K8,K8,K8,K8,K8,K8,K8)</f>
        <v>0.23055555555555557</v>
      </c>
      <c r="F8" s="17">
        <f>Sum(O8,O8,O8,O8,O8,O8,O8,O8,O8,O8,O8,O8,O8,O8,O8,O8,O8,O8,O8,O8,O8,O8,O8,O8,O8,O8)</f>
        <v>20</v>
      </c>
      <c r="G8" s="17">
        <f>Sum(D8,D8,D8,D8,D8,D8,D8,D8,D8,D8,D8,D8,D8,D8,D8,D8,D8,D8,D8,D8,D8,D8,D8,D8,D8,D8)</f>
        <v>15</v>
      </c>
      <c r="H8" s="17">
        <f>F8-G8</f>
        <v>5</v>
      </c>
      <c r="I8" s="17">
        <f>Sum(H8,H8,H8,H8,H8,H8,H8,H8,H8,H8,H8,H8,H8,H8,H8,H8,H8,H8,H8,H8,H8,H8,H8,H8,H8,H8)</f>
        <v>9</v>
      </c>
      <c r="J8" s="17">
        <f>F8-I8</f>
        <v>11</v>
      </c>
      <c r="K8" s="17">
        <f>Sum(L8,L8,L8,L8,L8,L8,L8,L8,L8,L8,L8,L8,L8,L8,L8,L8,L8,L8,L8,L8,L8,L8,L8,L8,L8,L8)</f>
        <v>10</v>
      </c>
      <c r="L8" s="17">
        <f>Sum(M8,M8,M8,M8,M8,M8,M8,M8,M8,M8,M8,M8,M8,M8,M8,M8,M8,M8,M8,M8,M8,M8,M8,M8,M8,M8)</f>
        <v>2</v>
      </c>
      <c r="M8" s="20">
        <f>G8/F8</f>
        <v>0.75</v>
      </c>
      <c r="N8" s="20">
        <f>H8/F8</f>
        <v>0.25</v>
      </c>
      <c r="O8" s="20">
        <f>I8/F8</f>
        <v>0.45000000000000001</v>
      </c>
      <c r="P8" s="20">
        <f>J8/F8</f>
        <v>0.55000000000000004</v>
      </c>
      <c r="Q8" s="37">
        <f>C8/K8</f>
        <v>4.5208333333333336e-02</v>
      </c>
      <c r="R8" s="37">
        <f>C8/F8</f>
        <v>2.2604166666666668e-02</v>
      </c>
      <c r="S8" s="37">
        <f>D8/F8</f>
        <v>1.1076388888888889e-02</v>
      </c>
      <c r="T8" s="37">
        <f>E8/F8</f>
        <v>1.1527777777777777e-02</v>
      </c>
      <c r="U8" s="23">
        <f>K8/F8</f>
        <v>0.5</v>
      </c>
      <c r="V8" s="37">
        <f>C8/L8</f>
        <v>0.22604166666666667</v>
      </c>
      <c r="W8" s="23">
        <f>L8/F8</f>
        <v>0.10000000000000001</v>
      </c>
      <c r="X8" s="41">
        <f>X2/X10</f>
        <v>4.7916999999999996</v>
      </c>
      <c r="Y8" s="42"/>
      <c r="Z8" s="28"/>
      <c r="AA8" s="28"/>
    </row>
    <row r="9">
      <c r="A9" s="26">
        <v>8</v>
      </c>
      <c r="B9" s="27" t="s">
        <v>37</v>
      </c>
      <c r="C9" s="35">
        <f>Sum(C9,C9,C9,C9,C9,C9,C9,C9,C9,C9,C9,C9,C9,C9,C9,C9,C9,C9,C9,C9,C9,C9,C9,C9,C9,C9)</f>
        <v>0.41458333333333336</v>
      </c>
      <c r="D9" s="35">
        <f>Sum(G9,G9,G9,G9,G9,G9,G9,G9,G9,G9,G9,G9,G9,G9,G9,G9,G9,G9,G9,G9,G9,G9,G9,G9,G9,G9)</f>
        <v>0.20902777777777778</v>
      </c>
      <c r="E9" s="35">
        <f>Sum(K9,K9,K9,K9,K9,K9,K9,K9,K9,K9,K9,K9,K9,K9,K9,K9,K9,K9,K9,K9,K9,K9,K9,K9,K9,K9)</f>
        <v>0.20555555555555555</v>
      </c>
      <c r="F9" s="24">
        <f>Sum(O9,O9,O9,O9,O9,O9,O9,O9,O9,O9,O9,O9,O9,O9,O9,O9,O9,O9,O9,O9,O9,O9,O9,O9,O9,O9)</f>
        <v>20</v>
      </c>
      <c r="G9" s="24">
        <f>Sum(D9,D9,D9,D9,D9,D9,D9,D9,D9,D9,D9,D9,D9,D9,D9,D9,D9,D9,D9,D9,D9,D9,D9,D9,D9,D9)</f>
        <v>20</v>
      </c>
      <c r="H9" s="24">
        <f>F9-G9</f>
        <v>0</v>
      </c>
      <c r="I9" s="24">
        <f>Sum(H9,H9,H9,H9,H9,H9,H9,H9,H9,H9,H9,H9,H9,H9,H9,H9,H9,H9,H9,H9,H9,H9,H9,H9,H9,H9)</f>
        <v>17</v>
      </c>
      <c r="J9" s="24">
        <f>F9-I9</f>
        <v>3</v>
      </c>
      <c r="K9" s="24">
        <f>Sum(L9,L9,L9,L9,L9,L9,L9,L9,L9,L9,L9,L9,L9,L9,L9,L9,L9,L9,L9,L9,L9,L9,L9,L9,L9,L9)</f>
        <v>32</v>
      </c>
      <c r="L9" s="24">
        <f>Sum(M9,M9,M9,M9,M9,M9,M9,M9,M9,M9,M9,M9,M9,M9,M9,M9,M9,M9,M9,M9,M9,M9,M9,M9,M9,M9)</f>
        <v>1</v>
      </c>
      <c r="M9" s="29">
        <f>G9/F9</f>
        <v>1</v>
      </c>
      <c r="N9" s="29">
        <f>H9/F9</f>
        <v>0</v>
      </c>
      <c r="O9" s="29">
        <f>I9/F9</f>
        <v>0.84999999999999998</v>
      </c>
      <c r="P9" s="29">
        <f>J9/F9</f>
        <v>0.14999999999999999</v>
      </c>
      <c r="Q9" s="35">
        <f>C9/K9</f>
        <v>1.2951388888888889e-02</v>
      </c>
      <c r="R9" s="35">
        <f>C9/F9</f>
        <v>2.0729166666666667e-02</v>
      </c>
      <c r="S9" s="35">
        <f>D9/F9</f>
        <v>1.0451388888888889e-02</v>
      </c>
      <c r="T9" s="35">
        <f>E9/F9</f>
        <v>1.0277777777777778e-02</v>
      </c>
      <c r="U9" s="28">
        <f>K9/F9</f>
        <v>1.6000000000000001</v>
      </c>
      <c r="V9" s="35">
        <f>C9/L9</f>
        <v>0.41458333333333336</v>
      </c>
      <c r="W9" s="28">
        <f>L9/F9</f>
        <v>5.0000000000000003e-02</v>
      </c>
      <c r="X9" s="43" t="s">
        <v>38</v>
      </c>
      <c r="Y9" s="42"/>
      <c r="Z9" s="34"/>
      <c r="AA9" s="34"/>
    </row>
    <row r="10">
      <c r="A10" s="15">
        <v>9</v>
      </c>
      <c r="B10" s="16" t="s">
        <v>39</v>
      </c>
      <c r="C10" s="37">
        <f>Sum(C10,C10,C10,C10,C10,C10,C10,C10,C10,C10,C10,C10,C10,C10,C10,C10,C10,C10,C10,C10,C10,C10,C10,C10,C10,C10)</f>
        <v>0.37604166666666666</v>
      </c>
      <c r="D10" s="37">
        <f>Sum(G10,G10,G10,G10,G10,G10,G10,G10,G10,G10,G10,G10,G10,G10,G10,G10,G10,G10,G10,G10,G10,G10,G10,G10,G10,G10)</f>
        <v>0.19756944444444444</v>
      </c>
      <c r="E10" s="37">
        <f>Sum(K10,K10,K10,K10,K10,K10,K10,K10,K10,K10,K10,K10,K10,K10,K10,K10,K10,K10,K10,K10,K10,K10,K10,K10,K10,K10)</f>
        <v>0.17847222222222223</v>
      </c>
      <c r="F10" s="17">
        <f>Sum(O10,O10,O10,O10,O10,O10,O10,O10,O10,O10,O10,O10,O10,O10,O10,O10,O10,O10,O10,O10,O10,O10,O10,O10,O10,O10)</f>
        <v>20</v>
      </c>
      <c r="G10" s="17">
        <f>Sum(D10,D10,D10,D10,D10,D10,D10,D10,D10,D10,D10,D10,D10,D10,D10,D10,D10,D10,D10,D10,D10,D10,D10,D10,D10,D10)</f>
        <v>12</v>
      </c>
      <c r="H10" s="17">
        <f>F10-G10</f>
        <v>8</v>
      </c>
      <c r="I10" s="17">
        <f>Sum(H10,H10,H10,H10,H10,H10,H10,H10,H10,H10,H10,H10,H10,H10,H10,H10,H10,H10,H10,H10,H10,H10,H10,H10,H10,H10)</f>
        <v>9</v>
      </c>
      <c r="J10" s="17">
        <f>F10-I10</f>
        <v>11</v>
      </c>
      <c r="K10" s="17">
        <f>Sum(L10,L10,L10,L10,L10,L10,L10,L10,L10,L10,L10,L10,L10,L10,L10,L10,L10,L10,L10,L10,L10,L10,L10,L10,L10,L10)</f>
        <v>3</v>
      </c>
      <c r="L10" s="17">
        <f>Sum(M10,M10,M10,M10,M10,M10,M10,M10,M10,M10,M10,M10,M10,M10,M10,M10,M10,M10,M10,M10,M10,M10,M10,M10,M10,M10)</f>
        <v>2</v>
      </c>
      <c r="M10" s="20">
        <f>G10/F10</f>
        <v>0.59999999999999998</v>
      </c>
      <c r="N10" s="20">
        <f>H10/F10</f>
        <v>0.40000000000000002</v>
      </c>
      <c r="O10" s="20">
        <f>I10/F10</f>
        <v>0.45000000000000001</v>
      </c>
      <c r="P10" s="20">
        <f>J10/F10</f>
        <v>0.55000000000000004</v>
      </c>
      <c r="Q10" s="37">
        <f>C10/K10</f>
        <v>0.12534722222222222</v>
      </c>
      <c r="R10" s="37">
        <f>C10/F10</f>
        <v>1.8796296296296297e-02</v>
      </c>
      <c r="S10" s="37">
        <f>D10/F10</f>
        <v>9.8726851851851857e-03</v>
      </c>
      <c r="T10" s="37">
        <f>E10/F10</f>
        <v>8.9236111111111113e-03</v>
      </c>
      <c r="U10" s="23">
        <f>K10/F10</f>
        <v>0.14999999999999999</v>
      </c>
      <c r="V10" s="37">
        <f>C10/L10</f>
        <v>0.18802083333333333</v>
      </c>
      <c r="W10" s="23">
        <f>L10/F10</f>
        <v>0.10000000000000001</v>
      </c>
      <c r="X10" s="38">
        <f>Sum(O18,O18,O18,O18,O18,O18,O18,O18,O18,O18,O18,O18,O18,O18,O18,O18,O18,O18,O18,O18,O18,O18,O18,O18,O18,O18)</f>
        <v>24</v>
      </c>
      <c r="Y10" s="39"/>
      <c r="Z10" s="34"/>
      <c r="AA10" s="34"/>
    </row>
    <row r="11">
      <c r="A11" s="26">
        <v>10</v>
      </c>
      <c r="B11" s="27" t="s">
        <v>40</v>
      </c>
      <c r="C11" s="35">
        <f>Sum(C11,C11,C11,C11,C11,C11,C11,C11,C11,C11,C11,C11,C11,C11,C11,C11,C11,C11,C11,C11,C11,C11,C11,C11,C11,C11)</f>
        <v>0.10173611111111111</v>
      </c>
      <c r="D11" s="35">
        <f>Sum(G11,G11,G11,G11,G11,G11,G11,G11,G11,G11,G11,G11,G11,G11,G11,G11,G11,G11,G11,G11,G11,G11,G11,G11,G11,G11)</f>
        <v>4.0625000000000001e-02</v>
      </c>
      <c r="E11" s="35">
        <f>Sum(K11,K11,K11,K11,K11,K11,K11,K11,K11,K11,K11,K11,K11,K11,K11,K11,K11,K11,K11,K11,K11,K11,K11,K11,K11,K11)</f>
        <v>6.1111111111111109e-02</v>
      </c>
      <c r="F11" s="24">
        <f>Sum(O11,O11,O11,O11,O11,O11,O11,O11,O11,O11,O11,O11,O11,O11,O11,O11,O11,O11,O11,O11,O11,O11,O11,O11,O11,O11)</f>
        <v>6</v>
      </c>
      <c r="G11" s="24">
        <f>Sum(D11,D11,D11,D11,D11,D11,D11,D11,D11,D11,D11,D11,D11,D11,D11,D11,D11,D11,D11,D11,D11,D11,D11,D11,D11,D11)</f>
        <v>0</v>
      </c>
      <c r="H11" s="24">
        <f>F11-G11</f>
        <v>6</v>
      </c>
      <c r="I11" s="24">
        <f>Sum(H11,H11,H11,H11,H11,H11,H11,H11,H11,H11,H11,H11,H11,H11,H11,H11,H11,H11,H11,H11,H11,H11,H11,H11,H11,H11)</f>
        <v>1</v>
      </c>
      <c r="J11" s="24">
        <f>F11-I11</f>
        <v>5</v>
      </c>
      <c r="K11" s="24">
        <f>Sum(L11,L11,L11,L11,L11,L11,L11,L11,L11,L11,L11,L11,L11,L11,L11,L11,L11,L11,L11,L11,L11,L11,L11,L11,L11,L11)</f>
        <v>0</v>
      </c>
      <c r="L11" s="24">
        <f>Sum(M11,M11,M11,M11,M11,M11,M11,M11,M11,M11,M11,M11,M11,M11,M11,M11,M11,M11,M11,M11,M11,M11,M11,M11,M11,M11)</f>
        <v>1</v>
      </c>
      <c r="M11" s="29">
        <f>G11/F11</f>
        <v>0</v>
      </c>
      <c r="N11" s="29">
        <f>H11/F11</f>
        <v>1</v>
      </c>
      <c r="O11" s="29">
        <f>I11/F11</f>
        <v>0.16669999999999999</v>
      </c>
      <c r="P11" s="29">
        <f>J11/F11</f>
        <v>0.83330000000000004</v>
      </c>
      <c r="Q11" s="35">
        <f>C11/K11</f>
      </c>
      <c r="R11" s="35">
        <f>C11/F11</f>
        <v>1.695601851851852e-02</v>
      </c>
      <c r="S11" s="35">
        <f>D11/F11</f>
        <v>6.7708333333333336e-03</v>
      </c>
      <c r="T11" s="35">
        <f>E11/F11</f>
        <v>1.0185185185185186e-02</v>
      </c>
      <c r="U11" s="28">
        <f>K11/F11</f>
        <v>0</v>
      </c>
      <c r="V11" s="35">
        <f>C11/L11</f>
        <v>0.10173611111111111</v>
      </c>
      <c r="W11" s="28">
        <f>L11/F11</f>
        <v>0.16669999999999999</v>
      </c>
      <c r="X11" s="44" t="s">
        <v>41</v>
      </c>
      <c r="Y11" s="42"/>
      <c r="Z11" s="34"/>
      <c r="AA11" s="34"/>
    </row>
    <row r="12">
      <c r="A12" s="15">
        <v>98</v>
      </c>
      <c r="B12" s="16" t="s">
        <v>42</v>
      </c>
      <c r="C12" s="37">
        <f>Sum(C12,C12,C12,C12,C12,C12,C12,C12,C12,C12,C12,C12,C12,C12,C12,C12,C12,C12,C12,C12,C12,C12,C12,C12,C12,C12)</f>
        <v>0.39791666666666664</v>
      </c>
      <c r="D12" s="37">
        <f>Sum(G12,G12,G12,G12,G12,G12,G12,G12,G12,G12,G12,G12,G12,G12,G12,G12,G12,G12,G12,G12,G12,G12,G12,G12,G12,G12)</f>
        <v>0.19965277777777779</v>
      </c>
      <c r="E12" s="37">
        <f>Sum(K12,K12,K12,K12,K12,K12,K12,K12,K12,K12,K12,K12,K12,K12,K12,K12,K12,K12,K12,K12,K12,K12,K12,K12,K12,K12)</f>
        <v>0.19826388888888888</v>
      </c>
      <c r="F12" s="17">
        <f>Sum(O12,O12,O12,O12,O12,O12,O12,O12,O12,O12,O12,O12,O12,O12,O12,O12,O12,O12,O12,O12,O12,O12,O12,O12,O12,O12)</f>
        <v>21</v>
      </c>
      <c r="G12" s="17">
        <f>Sum(D12,D12,D12,D12,D12,D12,D12,D12,D12,D12,D12,D12,D12,D12,D12,D12,D12,D12,D12,D12,D12,D12,D12,D12,D12,D12)</f>
        <v>9</v>
      </c>
      <c r="H12" s="17">
        <f>F12-G12</f>
        <v>12</v>
      </c>
      <c r="I12" s="17">
        <f>Sum(H12,H12,H12,H12,H12,H12,H12,H12,H12,H12,H12,H12,H12,H12,H12,H12,H12,H12,H12,H12,H12,H12,H12,H12,H12,H12)</f>
        <v>10</v>
      </c>
      <c r="J12" s="17">
        <f>F12-I12</f>
        <v>11</v>
      </c>
      <c r="K12" s="17">
        <f>Sum(L12,L12,L12,L12,L12,L12,L12,L12,L12,L12,L12,L12,L12,L12,L12,L12,L12,L12,L12,L12,L12,L12,L12,L12,L12,L12)</f>
        <v>0</v>
      </c>
      <c r="L12" s="17">
        <f>Sum(M12,M12,M12,M12,M12,M12,M12,M12,M12,M12,M12,M12,M12,M12,M12,M12,M12,M12,M12,M12,M12,M12,M12,M12,M12,M12)</f>
        <v>0</v>
      </c>
      <c r="M12" s="20">
        <f>G12/F12</f>
        <v>0.42859999999999998</v>
      </c>
      <c r="N12" s="20">
        <f>H12/F12</f>
        <v>0.57140000000000002</v>
      </c>
      <c r="O12" s="20">
        <f>I12/F12</f>
        <v>0.47620000000000001</v>
      </c>
      <c r="P12" s="20">
        <f>J12/F12</f>
        <v>0.52380000000000004</v>
      </c>
      <c r="Q12" s="45">
        <f>C12/AA2</f>
        <v>1.9895833333333335e-02</v>
      </c>
      <c r="R12" s="37">
        <f>C12/F12</f>
        <v>1.894675925925926e-02</v>
      </c>
      <c r="S12" s="37">
        <f>D12/F12</f>
        <v>9.5023148148148141e-03</v>
      </c>
      <c r="T12" s="37">
        <f>E12/F12</f>
        <v>9.432870370370371e-03</v>
      </c>
      <c r="U12" s="21">
        <f>AA2/F12</f>
        <v>0.95240000000000002</v>
      </c>
      <c r="V12" s="22">
        <f>C12/L12</f>
      </c>
      <c r="W12" s="23">
        <f>L12/F12</f>
        <v>0</v>
      </c>
      <c r="X12" s="46">
        <f>Sum(H18,H18,H18,H18)</f>
        <v>4</v>
      </c>
      <c r="Y12" s="42"/>
      <c r="Z12" s="34"/>
      <c r="AA12" s="34"/>
    </row>
    <row r="13">
      <c r="A13" s="26">
        <v>12</v>
      </c>
      <c r="B13" s="27" t="s">
        <v>43</v>
      </c>
      <c r="C13" s="35">
        <f>Sum(C13,C13,C13,C13,C13,C13,C13,C13,C13,C13,C13,C13,C13,C13,C13,C13,C13,C13,C13,C13,C13,C13,C13,C13,C13,C13)</f>
        <v>0.65486111111111112</v>
      </c>
      <c r="D13" s="35">
        <f>Sum(G13,G13,G13,G13,G13,G13,G13,G13,G13,G13,G13,G13,G13,G13,G13,G13,G13,G13,G13,G13,G13,G13,G13,G13,G13,G13)</f>
        <v>0.34166666666666667</v>
      </c>
      <c r="E13" s="35">
        <f>Sum(K13,K13,K13,K13,K13,K13,K13,K13,K13,K13,K13,K13,K13,K13,K13,K13,K13,K13,K13,K13,K13,K13,K13,K13,K13,K13)</f>
        <v>0.31319444444444444</v>
      </c>
      <c r="F13" s="24">
        <f>Sum(O13,O13,O13,O13,O13,O13,O13,O13,O13,O13,O13,O13,O13,O13,O13,O13,O13,O13,O13,O13,O13,O13,O13,O13,O13,O13)</f>
        <v>20</v>
      </c>
      <c r="G13" s="24">
        <f>Sum(D13,D13,D13,D13,D13,D13,D13,D13,D13,D13,D13,D13,D13,D13,D13,D13,D13,D13,D13,D13,D13,D13,D13,D13,D13,D13)</f>
        <v>21</v>
      </c>
      <c r="H13" s="24">
        <f>F13-G13</f>
        <v>-1</v>
      </c>
      <c r="I13" s="24">
        <f>Sum(H13,H13,H13,H13,H13,H13,H13,H13,H13,H13,H13,H13,H13,H13,H13,H13,H13,H13,H13,H13,H13,H13,H13,H13,H13,H13)</f>
        <v>19</v>
      </c>
      <c r="J13" s="24">
        <f>F13-I13</f>
        <v>1</v>
      </c>
      <c r="K13" s="24">
        <f>Sum(L13,L13,L13,L13,L13,L13,L13,L13,L13,L13,L13,L13,L13,L13,L13,L13,L13,L13,L13,L13,L13,L13,L13,L13,L13,L13)</f>
        <v>8</v>
      </c>
      <c r="L13" s="24">
        <f>Sum(M13,M13,M13,M13,M13,M13,M13,M13,M13,M13,M13,M13,M13,M13,M13,M13,M13,M13,M13,M13,M13,M13,M13,M13,M13,M13)</f>
        <v>6</v>
      </c>
      <c r="M13" s="29">
        <f>G13/F13</f>
        <v>1.05</v>
      </c>
      <c r="N13" s="29">
        <f>H13/F13</f>
        <v>-5.0000000000000003e-02</v>
      </c>
      <c r="O13" s="29">
        <f>I13/F13</f>
        <v>0.94999999999999996</v>
      </c>
      <c r="P13" s="29">
        <f>J13/F13</f>
        <v>5.0000000000000003e-02</v>
      </c>
      <c r="Q13" s="35">
        <f>C13/K13</f>
        <v>8.1851851851851856e-02</v>
      </c>
      <c r="R13" s="35">
        <f>C13/F13</f>
        <v>3.2743055555555553e-02</v>
      </c>
      <c r="S13" s="35">
        <f>D13/F13</f>
        <v>1.7083333333333332e-02</v>
      </c>
      <c r="T13" s="35">
        <f>E13/F13</f>
        <v>1.5659722222222221e-02</v>
      </c>
      <c r="U13" s="28">
        <f>K13/F13</f>
        <v>0.40000000000000002</v>
      </c>
      <c r="V13" s="35">
        <f>C13/L13</f>
        <v>0.10914351851851851</v>
      </c>
      <c r="W13" s="28">
        <f>L13/F13</f>
        <v>0.29999999999999999</v>
      </c>
      <c r="X13" s="47" t="s">
        <v>44</v>
      </c>
      <c r="Y13" s="33"/>
      <c r="Z13" s="34"/>
      <c r="AA13" s="34"/>
    </row>
    <row r="14">
      <c r="A14" s="15">
        <v>15</v>
      </c>
      <c r="B14" s="16" t="s">
        <v>45</v>
      </c>
      <c r="C14" s="37">
        <f>Sum(C14,C14,C14,C14,C14,C14,C14,C14,C14,C14,C14,C14,C14,C14,C14,C14,C14,C14,C14,C14,C14,C14,C14,C14,C14,C14)</f>
        <v>0.30208333333333331</v>
      </c>
      <c r="D14" s="37">
        <f>Sum(G14,G14,G14,G14,G14,G14,G14,G14,G14,G14,G14,G14,G14,G14,G14,G14,G14,G14,G14,G14,G14,G14,G14,G14,G14,G14)</f>
        <v>0.14374999999999999</v>
      </c>
      <c r="E14" s="37">
        <f>Sum(K14,K14,K14,K14,K14,K14,K14,K14,K14,K14,K14,K14,K14,K14,K14,K14,K14,K14,K14,K14,K14,K14,K14,K14,K14,K14)</f>
        <v>0.15833333333333333</v>
      </c>
      <c r="F14" s="17">
        <f>Sum(O14,O14,O14,O14,O14,O14,O14,O14,O14,O14,O14,O14,O14,O14,O14,O14,O14,O14,O14,O14,O14,O14,O14,O14,O14,O14)</f>
        <v>17</v>
      </c>
      <c r="G14" s="17">
        <f>Sum(D14,D14,D14,D14,D14,D14,D14,D14,D14,D14,D14,D14,D14,D14,D14,D14,D14,D14,D14,D14,D14,D14,D14,D14,D14,D14)</f>
        <v>15</v>
      </c>
      <c r="H14" s="17">
        <f>F14-G14</f>
        <v>2</v>
      </c>
      <c r="I14" s="17">
        <f>Sum(H14,H14,H14,H14,H14,H14,H14,H14,H14,H14,H14,H14,H14,H14,H14,H14,H14,H14,H14,H14,H14,H14,H14,H14,H14,H14)</f>
        <v>15</v>
      </c>
      <c r="J14" s="17">
        <f>F14-I14</f>
        <v>2</v>
      </c>
      <c r="K14" s="17">
        <f>Sum(L14,L14,L14,L14,L14,L14,L14,L14,L14,L14,L14,L14,L14,L14,L14,L14,L14,L14,L14,L14,L14,L14,L14,L14,L14,L14)</f>
        <v>2</v>
      </c>
      <c r="L14" s="17">
        <f>Sum(M14,M14,M14,M14,M14,M14,M14,M14,M14,M14,M14,M14,M14,M14,M14,M14,M14,M14,M14,M14,M14,M14,M14,M14,M14,M14)</f>
        <v>0</v>
      </c>
      <c r="M14" s="20">
        <f>G14/F14</f>
        <v>0.88239999999999996</v>
      </c>
      <c r="N14" s="20">
        <f>H14/F14</f>
        <v>0.1176</v>
      </c>
      <c r="O14" s="20">
        <f>I14/F14</f>
        <v>0.88239999999999996</v>
      </c>
      <c r="P14" s="20">
        <f>J14/F14</f>
        <v>0.1176</v>
      </c>
      <c r="Q14" s="37">
        <f>C14/K14</f>
        <v>0.15104166666666666</v>
      </c>
      <c r="R14" s="37">
        <f>C14/F14</f>
        <v>1.7766203703703704e-02</v>
      </c>
      <c r="S14" s="37">
        <f>D14/F14</f>
        <v>8.4490740740740741e-03</v>
      </c>
      <c r="T14" s="37">
        <f>E14/F14</f>
        <v>9.3055555555555548e-03</v>
      </c>
      <c r="U14" s="23">
        <f>K14/F14</f>
        <v>0.1176</v>
      </c>
      <c r="V14" s="23">
        <f>C14/L14</f>
      </c>
      <c r="W14" s="23">
        <f>L14/F14</f>
        <v>0</v>
      </c>
      <c r="X14" s="38">
        <f>Sum(J18,J18)</f>
        <v>2</v>
      </c>
      <c r="Y14" s="33"/>
      <c r="Z14" s="34"/>
      <c r="AA14" s="34"/>
    </row>
    <row r="15">
      <c r="A15" s="26">
        <v>16</v>
      </c>
      <c r="B15" s="27" t="s">
        <v>46</v>
      </c>
      <c r="C15" s="35">
        <f>Sum(C15,C15,C15,C15,C15,C15,C15,C15,C15,C15,C15,C15,C15,C15,C15,C15,C15,C15,C15,C15,C15,C15,C15,C15,C15,C15)</f>
        <v>0.24861111111111112</v>
      </c>
      <c r="D15" s="35">
        <f>Sum(G15,G15,G15,G15,G15,G15,G15,G15,G15,G15,G15,G15,G15,G15,G15,G15,G15,G15,G15,G15,G15,G15,G15,G15,G15,G15)</f>
        <v>0.11805555555555555</v>
      </c>
      <c r="E15" s="35">
        <f>Sum(K15,K15,K15,K15,K15,K15,K15,K15,K15,K15,K15,K15,K15,K15,K15,K15,K15,K15,K15,K15,K15,K15,K15,K15,K15,K15)</f>
        <v>0.13055555555555556</v>
      </c>
      <c r="F15" s="24">
        <f>Sum(O15,O15,O15,O15,O15,O15,O15,O15,O15,O15,O15,O15,O15,O15,O15,O15,O15,O15,O15,O15,O15,O15,O15,O15,O15,O15)</f>
        <v>18</v>
      </c>
      <c r="G15" s="24">
        <f>Sum(D15,D15,D15,D15,D15,D15,D15,D15,D15,D15,D15,D15,D15,D15,D15,D15,D15,D15,D15,D15,D15,D15,D15,D15,D15,D15)</f>
        <v>0</v>
      </c>
      <c r="H15" s="24">
        <f>F15-G15</f>
        <v>18</v>
      </c>
      <c r="I15" s="24">
        <f>Sum(H15,H15,H15,H15,H15,H15,H15,H15,H15,H15,H15,H15,H15,H15,H15,H15,H15,H15,H15,H15,H15,H15,H15,H15,H15,H15)</f>
        <v>2</v>
      </c>
      <c r="J15" s="24">
        <f>F15-I15</f>
        <v>16</v>
      </c>
      <c r="K15" s="24">
        <f>Sum(L15,L15,L15,L15,L15,L15,L15,L15,L15,L15,L15,L15,L15,L15,L15,L15,L15,L15,L15,L15,L15,L15,L15,L15,L15,L15)</f>
        <v>5</v>
      </c>
      <c r="L15" s="24">
        <f>Sum(M15,M15,M15,M15,M15,M15,M15,M15,M15,M15,M15,M15,M15,M15,M15,M15,M15,M15,M15,M15,M15,M15,M15,M15,M15,M15)</f>
        <v>1</v>
      </c>
      <c r="M15" s="29">
        <f>G15/F15</f>
        <v>0</v>
      </c>
      <c r="N15" s="29">
        <f>H15/F15</f>
        <v>1</v>
      </c>
      <c r="O15" s="29">
        <f>I15/F15</f>
        <v>0.1111</v>
      </c>
      <c r="P15" s="29">
        <f>J15/F15</f>
        <v>0.88890000000000002</v>
      </c>
      <c r="Q15" s="35">
        <f>C15/K15</f>
        <v>4.9722222222222223e-02</v>
      </c>
      <c r="R15" s="35">
        <f>C15/F15</f>
        <v>1.380787037037037e-02</v>
      </c>
      <c r="S15" s="35">
        <f>D15/F15</f>
        <v>6.5509259259259262e-03</v>
      </c>
      <c r="T15" s="35">
        <f>E15/F15</f>
        <v>7.2453703703703708e-03</v>
      </c>
      <c r="U15" s="28">
        <f>K15/F15</f>
        <v>0.27779999999999999</v>
      </c>
      <c r="V15" s="35">
        <f>C15/L15</f>
        <v>0.24861111111111112</v>
      </c>
      <c r="W15" s="28">
        <f>L15/F15</f>
        <v>5.5599999999999997e-02</v>
      </c>
      <c r="X15" s="48"/>
      <c r="Y15" s="33"/>
      <c r="Z15" s="34"/>
      <c r="AA15" s="34"/>
    </row>
    <row r="16">
      <c r="A16" s="15">
        <v>20</v>
      </c>
      <c r="B16" s="16" t="s">
        <v>47</v>
      </c>
      <c r="C16" s="37">
        <f>Sum(C16,C16,C16,C16,C16,C16,C16,C16,C16,C16,C16,C16,C16,C16,C16,C16,C16,C16,C16,C16,C16,C16,C16,C16,C16,C16)</f>
        <v>0.56770833333333337</v>
      </c>
      <c r="D16" s="37">
        <f>Sum(G16,G16,G16,G16,G16,G16,G16,G16,G16,G16,G16,G16,G16,G16,G16,G16,G16,G16,G16,G16,G16,G16,G16,G16,G16,G16)</f>
        <v>0.30937500000000001</v>
      </c>
      <c r="E16" s="37">
        <f>Sum(K16,K16,K16,K16,K16,K16,K16,K16,K16,K16,K16,K16,K16,K16,K16,K16,K16,K16,K16,K16,K16,K16,K16,K16,K16,K16)</f>
        <v>0.25833333333333336</v>
      </c>
      <c r="F16" s="17">
        <f>Sum(O16,O16,O16,O16,O16,O16,O16,O16,O16,O16,O16,O16,O16,O16,O16,O16,O16,O16,O16,O16,O16,O16,O16,O16,O16,O16)</f>
        <v>20</v>
      </c>
      <c r="G16" s="17">
        <f>Sum(D16,D16,D16,D16,D16,D16,D16,D16,D16,D16,D16,D16,D16,D16,D16,D16,D16,D16,D16,D16,D16,D16,D16,D16,D16,D16)</f>
        <v>21</v>
      </c>
      <c r="H16" s="17">
        <f>F16-G16</f>
        <v>-1</v>
      </c>
      <c r="I16" s="17">
        <f>Sum(H16,H16,H16,H16,H16,H16,H16,H16,H16,H16,H16,H16,H16,H16,H16,H16,H16,H16,H16,H16,H16,H16,H16,H16,H16,H16)</f>
        <v>20</v>
      </c>
      <c r="J16" s="17">
        <f>F16-I16</f>
        <v>0</v>
      </c>
      <c r="K16" s="17">
        <f>Sum(L16,L16,L16,L16,L16,L16,L16,L16,L16,L16,L16,L16,L16,L16,L16,L16,L16,L16,L16,L16,L16,L16,L16,L16,L16,L16)</f>
        <v>2</v>
      </c>
      <c r="L16" s="17">
        <f>Sum(M16,M16,M16,M16,M16,M16,M16,M16,M16,M16,M16,M16,M16,M16,M16,M16,M16,M16,M16,M16,M16,M16,M16,M16,M16,M16)</f>
        <v>1</v>
      </c>
      <c r="M16" s="20">
        <f>G16/F16</f>
        <v>1.05</v>
      </c>
      <c r="N16" s="20">
        <f>H16/F16</f>
        <v>-5.0000000000000003e-02</v>
      </c>
      <c r="O16" s="20">
        <f>I16/F16</f>
        <v>1</v>
      </c>
      <c r="P16" s="20">
        <f>J16/F16</f>
        <v>0</v>
      </c>
      <c r="Q16" s="37">
        <f>C16/K16</f>
        <v>0.28385416666666669</v>
      </c>
      <c r="R16" s="37">
        <f>C16/F16</f>
        <v>2.837962962962963e-02</v>
      </c>
      <c r="S16" s="37">
        <f>D16/F16</f>
        <v>1.5462962962962963e-02</v>
      </c>
      <c r="T16" s="37">
        <f>E16/F16</f>
        <v>1.2916666666666667e-02</v>
      </c>
      <c r="U16" s="23">
        <f>K16/F16</f>
        <v>0.10000000000000001</v>
      </c>
      <c r="V16" s="37">
        <f>C16/L16</f>
        <v>0.56770833333333337</v>
      </c>
      <c r="W16" s="23">
        <f>L16/F16</f>
        <v>5.0000000000000003e-02</v>
      </c>
      <c r="X16" s="49" t="s">
        <v>48</v>
      </c>
      <c r="Y16" s="33"/>
      <c r="Z16" s="34"/>
      <c r="AA16" s="34"/>
    </row>
    <row r="17">
      <c r="A17" s="26">
        <v>22</v>
      </c>
      <c r="B17" s="27" t="s">
        <v>49</v>
      </c>
      <c r="C17" s="35">
        <f>Sum(C17,C17,C17,C17,C17,C17,C17,C17,C17,C17,C17,C17,C17,C17,C17,C17,C17,C17,C17,C17,C17,C17,C17,C17,C17,C17)</f>
        <v>0.43611111111111112</v>
      </c>
      <c r="D17" s="35">
        <f>Sum(G17,G17,G17,G17,G17,G17,G17,G17,G17,G17,G17,G17,G17,G17,G17,G17,G17,G17,G17,G17,G17,G17,G17,G17,G17,G17)</f>
        <v>0.20902777777777778</v>
      </c>
      <c r="E17" s="35">
        <f>Sum(K17,K17,K17,K17,K17,K17,K17,K17,K17,K17,K17,K17,K17,K17,K17,K17,K17,K17,K17,K17,K17,K17,K17,K17,K17,K17)</f>
        <v>0.22708333333333333</v>
      </c>
      <c r="F17" s="24">
        <f>Sum(O17,O17,O17,O17,O17,O17,O17,O17,O17,O17,O17,O17,O17,O17,O17,O17,O17,O17,O17,O17,O17,O17,O17,O17,O17,O17)</f>
        <v>21</v>
      </c>
      <c r="G17" s="24">
        <f>Sum(D17,D17,D17,D17,D17,D17,D17,D17,D17,D17,D17,D17,D17,D17,D17,D17,D17,D17,D17,D17,D17,D17,D17,D17,D17,D17)</f>
        <v>17</v>
      </c>
      <c r="H17" s="24">
        <f>F17-G17</f>
        <v>4</v>
      </c>
      <c r="I17" s="24">
        <f>Sum(H17,H17,H17,H17,H17,H17,H17,H17,H17,H17,H17,H17,H17,H17,H17,H17,H17,H17,H17,H17,H17,H17,H17,H17,H17,H17)</f>
        <v>16</v>
      </c>
      <c r="J17" s="24">
        <f>F17-I17</f>
        <v>5</v>
      </c>
      <c r="K17" s="24">
        <f>Sum(L17,L17,L17,L17,L17,L17,L17,L17,L17,L17,L17,L17,L17,L17,L17,L17,L17,L17,L17,L17,L17,L17,L17,L17,L17,L17)</f>
        <v>24</v>
      </c>
      <c r="L17" s="24">
        <f>Sum(M17,M17,M17,M17,M17,M17,M17,M17,M17,M17,M17,M17,M17,M17,M17,M17,M17,M17,M17,M17,M17,M17,M17,M17,M17,M17)</f>
        <v>10</v>
      </c>
      <c r="M17" s="29">
        <f>G17/F17</f>
        <v>0.8095</v>
      </c>
      <c r="N17" s="29">
        <f>H17/F17</f>
        <v>0.1905</v>
      </c>
      <c r="O17" s="29">
        <f>I17/F17</f>
        <v>0.76190000000000002</v>
      </c>
      <c r="P17" s="29">
        <f>J17/F17</f>
        <v>0.23810000000000001</v>
      </c>
      <c r="Q17" s="35">
        <f>C17/K17</f>
        <v>1.8171296296296297e-02</v>
      </c>
      <c r="R17" s="35">
        <f>C17/F17</f>
        <v>2.0763888888888887e-02</v>
      </c>
      <c r="S17" s="35">
        <f>D17/F17</f>
        <v>9.9537037037037042e-03</v>
      </c>
      <c r="T17" s="35">
        <f>E17/F17</f>
        <v>1.0810185185185185e-02</v>
      </c>
      <c r="U17" s="28">
        <f>K17/F17</f>
        <v>1.1429</v>
      </c>
      <c r="V17" s="35">
        <f>C17/L17</f>
        <v>4.3611111111111114e-02</v>
      </c>
      <c r="W17" s="28">
        <f>L17/F17</f>
        <v>0.47620000000000001</v>
      </c>
      <c r="X17" s="50">
        <f>Y2/X10</f>
        <v>1.625</v>
      </c>
      <c r="Y17" s="33"/>
      <c r="Z17" s="34"/>
      <c r="AA17" s="34"/>
    </row>
    <row r="18">
      <c r="A18" s="27"/>
      <c r="B18" s="51"/>
      <c r="C18" s="52"/>
      <c r="J18" s="53" t="s">
        <v>50</v>
      </c>
      <c r="K18" s="54" t="s">
        <v>51</v>
      </c>
      <c r="L18" s="55" t="s">
        <v>52</v>
      </c>
      <c r="M18" s="56"/>
      <c r="N18" s="57"/>
      <c r="X18" s="57"/>
      <c r="Y18" s="57"/>
      <c r="Z18" s="27"/>
      <c r="AA18" s="27"/>
    </row>
    <row r="19">
      <c r="A19" s="57"/>
      <c r="B19" s="57"/>
      <c r="C19" s="57"/>
      <c r="J19" s="58">
        <f>X6</f>
        <v>7</v>
      </c>
      <c r="K19" s="26">
        <v>108</v>
      </c>
      <c r="L19" s="59">
        <v>33</v>
      </c>
      <c r="M19" s="57"/>
      <c r="X19" s="57"/>
      <c r="Y19" s="57"/>
      <c r="Z19" s="27"/>
      <c r="AA19" s="27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4480000000000004"/>
    <col customWidth="1" min="2" max="2" width="19.021799999999999"/>
    <col customWidth="1" min="3" max="3" width="9.0454000000000008"/>
    <col customWidth="1" min="4" max="4" width="7.4382000000000001"/>
    <col customWidth="1" min="5" max="5" width="7.8399999999999999"/>
    <col customWidth="1" min="6" max="1024" width="7.8399999999999999"/>
  </cols>
  <sheetData>
    <row r="1" ht="22.949999999999999" customHeight="1">
      <c r="A1" s="60" t="s">
        <v>53</v>
      </c>
      <c r="B1" s="61" t="s">
        <v>54</v>
      </c>
      <c r="C1" s="62" t="s">
        <v>55</v>
      </c>
      <c r="D1" s="63" t="s">
        <v>56</v>
      </c>
      <c r="E1" s="64" t="s">
        <v>57</v>
      </c>
    </row>
    <row r="2" ht="22.949999999999999" customHeight="1">
      <c r="A2" s="65">
        <v>1</v>
      </c>
      <c r="B2" s="48" t="s">
        <v>58</v>
      </c>
      <c r="C2" s="48" t="s">
        <v>59</v>
      </c>
      <c r="D2" s="66">
        <v>2.0833333333333333e-03</v>
      </c>
      <c r="E2" s="48" t="s">
        <v>60</v>
      </c>
    </row>
    <row r="3" ht="22.949999999999999" customHeight="1">
      <c r="A3" s="65">
        <v>2</v>
      </c>
      <c r="B3" s="48" t="s">
        <v>61</v>
      </c>
      <c r="C3" s="48" t="s">
        <v>62</v>
      </c>
      <c r="D3" s="66">
        <v>5.5555555555555558e-03</v>
      </c>
      <c r="E3" s="48" t="s">
        <v>63</v>
      </c>
    </row>
    <row r="4" ht="22.949999999999999" customHeight="1">
      <c r="A4" s="65">
        <v>3</v>
      </c>
      <c r="B4" s="48" t="s">
        <v>64</v>
      </c>
      <c r="C4" s="48" t="s">
        <v>65</v>
      </c>
      <c r="D4" s="66">
        <v>7.6388888888888886e-03</v>
      </c>
      <c r="E4" s="48" t="s">
        <v>66</v>
      </c>
    </row>
    <row r="5" ht="22.949999999999999" customHeight="1">
      <c r="A5" s="65">
        <v>4</v>
      </c>
      <c r="B5" s="48" t="s">
        <v>67</v>
      </c>
      <c r="C5" s="48" t="s">
        <v>68</v>
      </c>
      <c r="D5" s="66">
        <v>8.3333333333333332e-03</v>
      </c>
      <c r="E5" s="48" t="s">
        <v>69</v>
      </c>
    </row>
    <row r="6" ht="22.949999999999999" customHeight="1">
      <c r="A6" s="65">
        <v>5</v>
      </c>
      <c r="B6" s="48" t="s">
        <v>70</v>
      </c>
      <c r="C6" s="48" t="s">
        <v>71</v>
      </c>
      <c r="D6" s="66">
        <v>5.5555555555555558e-03</v>
      </c>
      <c r="E6" s="48" t="s">
        <v>72</v>
      </c>
    </row>
    <row r="7" ht="22.949999999999999" customHeight="1">
      <c r="A7" s="65">
        <v>6</v>
      </c>
      <c r="B7" s="48" t="s">
        <v>73</v>
      </c>
      <c r="C7" s="48" t="s">
        <v>74</v>
      </c>
      <c r="D7" s="66">
        <v>1.4583333333333334e-02</v>
      </c>
      <c r="E7" s="48" t="s">
        <v>75</v>
      </c>
    </row>
    <row r="8" ht="22.949999999999999" customHeight="1">
      <c r="A8" s="65">
        <v>7</v>
      </c>
      <c r="B8" s="48" t="s">
        <v>76</v>
      </c>
      <c r="C8" s="48" t="s">
        <v>77</v>
      </c>
      <c r="D8" s="66">
        <v>2.0833333333333333e-03</v>
      </c>
      <c r="E8" s="48" t="s">
        <v>78</v>
      </c>
    </row>
    <row r="9" ht="22.949999999999999" customHeight="1">
      <c r="A9" s="65">
        <v>8</v>
      </c>
      <c r="B9" s="48" t="s">
        <v>79</v>
      </c>
      <c r="C9" s="48" t="s">
        <v>80</v>
      </c>
      <c r="D9" s="66">
        <v>4.1666666666666666e-03</v>
      </c>
      <c r="E9" s="48" t="s">
        <v>81</v>
      </c>
    </row>
    <row r="10" ht="22.949999999999999" customHeight="1">
      <c r="A10" s="65">
        <v>9</v>
      </c>
      <c r="B10" s="48" t="s">
        <v>82</v>
      </c>
      <c r="C10" s="48" t="s">
        <v>83</v>
      </c>
      <c r="D10" s="66">
        <v>4.8611111111111112e-03</v>
      </c>
      <c r="E10" s="48" t="s">
        <v>84</v>
      </c>
    </row>
    <row r="11" ht="22.949999999999999" customHeight="1">
      <c r="A11" s="65">
        <v>10</v>
      </c>
      <c r="B11" s="48" t="s">
        <v>85</v>
      </c>
      <c r="C11" s="48" t="s">
        <v>86</v>
      </c>
      <c r="D11" s="66">
        <v>6.2500000000000003e-03</v>
      </c>
      <c r="E11" s="48" t="s">
        <v>87</v>
      </c>
    </row>
    <row r="12" ht="22.949999999999999" customHeight="1">
      <c r="A12" s="65">
        <v>11</v>
      </c>
      <c r="B12" s="48" t="s">
        <v>88</v>
      </c>
      <c r="C12" s="48" t="s">
        <v>89</v>
      </c>
      <c r="D12" s="66">
        <v>1.6666666666666666e-02</v>
      </c>
      <c r="E12" s="48" t="s">
        <v>90</v>
      </c>
    </row>
    <row r="13" ht="22.949999999999999" customHeight="1">
      <c r="A13" s="65">
        <v>12</v>
      </c>
      <c r="B13" s="48" t="s">
        <v>91</v>
      </c>
      <c r="C13" s="48" t="s">
        <v>92</v>
      </c>
      <c r="D13" s="66">
        <v>1.3888888888888889e-03</v>
      </c>
      <c r="E13" s="48" t="s">
        <v>93</v>
      </c>
    </row>
    <row r="14" ht="22.949999999999999" customHeight="1">
      <c r="A14" s="65">
        <v>13</v>
      </c>
      <c r="B14" s="48" t="s">
        <v>94</v>
      </c>
      <c r="C14" s="48" t="s">
        <v>95</v>
      </c>
      <c r="D14" s="66">
        <v>2.7777777777777779e-03</v>
      </c>
      <c r="E14" s="48" t="s">
        <v>96</v>
      </c>
    </row>
    <row r="15" ht="22.949999999999999" customHeight="1">
      <c r="A15" s="65">
        <v>14</v>
      </c>
      <c r="B15" s="48" t="s">
        <v>97</v>
      </c>
      <c r="C15" s="48" t="s">
        <v>98</v>
      </c>
      <c r="D15" s="66">
        <v>1.4583333333333334e-02</v>
      </c>
      <c r="E15" s="48" t="s">
        <v>99</v>
      </c>
    </row>
    <row r="16" ht="22.949999999999999" customHeight="1">
      <c r="A16" s="65">
        <v>15</v>
      </c>
      <c r="B16" s="48" t="s">
        <v>100</v>
      </c>
      <c r="C16" s="48" t="s">
        <v>101</v>
      </c>
      <c r="D16" s="66">
        <v>2.7777777777777779e-03</v>
      </c>
      <c r="E16" s="48" t="s">
        <v>102</v>
      </c>
    </row>
    <row r="17" ht="22.949999999999999" customHeight="1">
      <c r="A17" s="65">
        <v>16</v>
      </c>
      <c r="B17" s="48" t="s">
        <v>103</v>
      </c>
      <c r="C17" s="48" t="s">
        <v>104</v>
      </c>
      <c r="D17" s="66">
        <v>3.472222222222222e-03</v>
      </c>
      <c r="E17" s="48" t="s">
        <v>105</v>
      </c>
    </row>
    <row r="18" ht="22.949999999999999" customHeight="1">
      <c r="A18" s="65">
        <v>17</v>
      </c>
      <c r="B18" s="48" t="s">
        <v>106</v>
      </c>
      <c r="C18" s="48" t="s">
        <v>107</v>
      </c>
      <c r="D18" s="66">
        <v>5.5555555555555558e-03</v>
      </c>
      <c r="E18" s="48" t="s">
        <v>108</v>
      </c>
    </row>
    <row r="19" ht="22.949999999999999" customHeight="1">
      <c r="A19" s="65">
        <v>18</v>
      </c>
      <c r="B19" s="48" t="s">
        <v>109</v>
      </c>
      <c r="C19" s="48" t="s">
        <v>110</v>
      </c>
      <c r="D19" s="66">
        <v>4.8611111111111112e-03</v>
      </c>
      <c r="E19" s="48" t="s">
        <v>111</v>
      </c>
    </row>
    <row r="20" ht="22.949999999999999" customHeight="1">
      <c r="A20" s="65">
        <v>19</v>
      </c>
      <c r="B20" s="48" t="s">
        <v>112</v>
      </c>
      <c r="C20" s="48" t="s">
        <v>113</v>
      </c>
      <c r="D20" s="66">
        <v>1.1805555555555555e-02</v>
      </c>
      <c r="E20" s="48" t="s">
        <v>114</v>
      </c>
    </row>
    <row r="21" ht="22.949999999999999" customHeight="1">
      <c r="A21" s="65">
        <v>20</v>
      </c>
      <c r="B21" s="48" t="s">
        <v>115</v>
      </c>
      <c r="C21" s="48" t="s">
        <v>116</v>
      </c>
      <c r="D21" s="66">
        <v>1.3888888888888889e-03</v>
      </c>
      <c r="E21" s="48" t="s">
        <v>117</v>
      </c>
    </row>
    <row r="22" ht="22.949999999999999" customHeight="1">
      <c r="A22" s="65">
        <v>21</v>
      </c>
      <c r="B22" s="48" t="s">
        <v>118</v>
      </c>
      <c r="C22" s="48" t="s">
        <v>119</v>
      </c>
      <c r="D22" s="66">
        <v>4.8611111111111112e-03</v>
      </c>
      <c r="E22" s="48" t="s">
        <v>120</v>
      </c>
    </row>
    <row r="23" ht="22.949999999999999" customHeight="1">
      <c r="A23" s="65">
        <v>22</v>
      </c>
      <c r="B23" s="48" t="s">
        <v>121</v>
      </c>
      <c r="C23" s="48" t="s">
        <v>122</v>
      </c>
      <c r="D23" s="66">
        <v>1.3888888888888888e-02</v>
      </c>
      <c r="E23" s="48" t="s">
        <v>123</v>
      </c>
    </row>
    <row r="24" ht="22.949999999999999" customHeight="1">
      <c r="A24" s="65">
        <v>23</v>
      </c>
      <c r="B24" s="48" t="s">
        <v>124</v>
      </c>
      <c r="C24" s="48" t="s">
        <v>125</v>
      </c>
      <c r="D24" s="66">
        <v>3.472222222222222e-03</v>
      </c>
      <c r="E24" s="48" t="s">
        <v>126</v>
      </c>
    </row>
    <row r="25" ht="22.949999999999999" customHeight="1">
      <c r="A25" s="65">
        <v>24</v>
      </c>
      <c r="B25" s="48" t="s">
        <v>127</v>
      </c>
      <c r="C25" s="48" t="s">
        <v>128</v>
      </c>
      <c r="D25" s="66">
        <v>6.2500000000000003e-03</v>
      </c>
      <c r="E25" s="48" t="s">
        <v>129</v>
      </c>
    </row>
    <row r="26" ht="22.949999999999999" customHeight="1">
      <c r="A26" s="65">
        <v>25</v>
      </c>
      <c r="B26" s="48" t="s">
        <v>130</v>
      </c>
      <c r="C26" s="48" t="s">
        <v>131</v>
      </c>
      <c r="D26" s="66">
        <v>1.0416666666666666e-02</v>
      </c>
      <c r="E26" s="48" t="s">
        <v>132</v>
      </c>
    </row>
    <row r="27" ht="22.949999999999999" customHeight="1">
      <c r="A27" s="65">
        <v>26</v>
      </c>
      <c r="B27" s="48" t="s">
        <v>133</v>
      </c>
      <c r="C27" s="48" t="s">
        <v>134</v>
      </c>
      <c r="D27" s="66">
        <v>1.3888888888888888e-02</v>
      </c>
      <c r="E27" s="48" t="s">
        <v>135</v>
      </c>
    </row>
    <row r="28" ht="22.949999999999999" customHeight="1">
      <c r="A28" s="65">
        <v>27</v>
      </c>
      <c r="B28" s="48" t="s">
        <v>136</v>
      </c>
      <c r="C28" s="48" t="s">
        <v>137</v>
      </c>
      <c r="D28" s="66">
        <v>1.5277777777777777e-02</v>
      </c>
      <c r="E28" s="48" t="s">
        <v>138</v>
      </c>
    </row>
    <row r="29" ht="22.949999999999999" customHeight="1">
      <c r="A29" s="65">
        <v>28</v>
      </c>
      <c r="B29" s="48" t="s">
        <v>139</v>
      </c>
      <c r="C29" s="48" t="s">
        <v>140</v>
      </c>
      <c r="D29" s="66">
        <v>9.0277777777777769e-03</v>
      </c>
      <c r="E29" s="48" t="s">
        <v>141</v>
      </c>
    </row>
    <row r="30" ht="22.949999999999999" customHeight="1">
      <c r="A30" s="65">
        <v>29</v>
      </c>
      <c r="B30" s="48" t="s">
        <v>142</v>
      </c>
      <c r="C30" s="48" t="s">
        <v>143</v>
      </c>
      <c r="D30" s="66">
        <v>1.1111111111111112e-02</v>
      </c>
      <c r="E30" s="48" t="s">
        <v>144</v>
      </c>
    </row>
    <row r="31" ht="22.949999999999999" customHeight="1">
      <c r="A31" s="65">
        <v>30</v>
      </c>
      <c r="B31" s="48" t="s">
        <v>145</v>
      </c>
      <c r="C31" s="48" t="s">
        <v>146</v>
      </c>
      <c r="D31" s="66">
        <v>1.3888888888888888e-02</v>
      </c>
      <c r="E31" s="48" t="s">
        <v>147</v>
      </c>
    </row>
    <row r="32" ht="22.949999999999999" customHeight="1">
      <c r="A32" s="65">
        <v>31</v>
      </c>
      <c r="B32" s="48" t="s">
        <v>148</v>
      </c>
      <c r="C32" s="48" t="s">
        <v>149</v>
      </c>
      <c r="D32" s="66">
        <v>1.5277777777777777e-02</v>
      </c>
      <c r="E32" s="48" t="s">
        <v>150</v>
      </c>
    </row>
    <row r="33" ht="22.949999999999999" customHeight="1">
      <c r="A33" s="65">
        <v>32</v>
      </c>
      <c r="B33" s="48" t="s">
        <v>151</v>
      </c>
      <c r="C33" s="48" t="s">
        <v>152</v>
      </c>
      <c r="D33" s="66">
        <v>1.6666666666666666e-02</v>
      </c>
      <c r="E33" s="48" t="s">
        <v>153</v>
      </c>
    </row>
    <row r="34" ht="22.949999999999999" customHeight="1">
      <c r="A34" s="65">
        <v>33</v>
      </c>
      <c r="B34" s="48" t="s">
        <v>154</v>
      </c>
      <c r="C34" s="48" t="s">
        <v>155</v>
      </c>
      <c r="D34" s="67"/>
      <c r="E34" s="48" t="s">
        <v>156</v>
      </c>
    </row>
    <row r="35" ht="22.949999999999999" customHeight="1">
      <c r="A35" s="65">
        <v>34</v>
      </c>
      <c r="B35" s="48" t="s">
        <v>157</v>
      </c>
      <c r="C35" s="48" t="s">
        <v>158</v>
      </c>
      <c r="D35" s="67"/>
      <c r="E35" s="48" t="s">
        <v>159</v>
      </c>
    </row>
    <row r="36" ht="22.949999999999999" customHeight="1">
      <c r="A36" s="65">
        <v>35</v>
      </c>
      <c r="B36" s="48" t="s">
        <v>160</v>
      </c>
      <c r="C36" s="48" t="s">
        <v>161</v>
      </c>
      <c r="D36" s="67"/>
      <c r="E36" s="48" t="s">
        <v>162</v>
      </c>
    </row>
    <row r="37" ht="22.949999999999999" customHeight="1">
      <c r="A37" s="65">
        <v>36</v>
      </c>
      <c r="B37" s="48" t="s">
        <v>163</v>
      </c>
      <c r="C37" s="48" t="s">
        <v>164</v>
      </c>
      <c r="D37" s="67"/>
      <c r="E37" s="48" t="s">
        <v>165</v>
      </c>
    </row>
    <row r="38" ht="22.949999999999999" customHeight="1">
      <c r="A38" s="65">
        <v>37</v>
      </c>
      <c r="B38" s="48" t="s">
        <v>166</v>
      </c>
      <c r="C38" s="48" t="s">
        <v>167</v>
      </c>
      <c r="D38" s="67"/>
      <c r="E38" s="48" t="s">
        <v>168</v>
      </c>
    </row>
    <row r="39" ht="22.949999999999999" customHeight="1">
      <c r="A39" s="65">
        <v>38</v>
      </c>
      <c r="B39" s="48" t="s">
        <v>169</v>
      </c>
      <c r="C39" s="48" t="s">
        <v>170</v>
      </c>
      <c r="D39" s="67"/>
      <c r="E39" s="48" t="s">
        <v>171</v>
      </c>
    </row>
    <row r="40" ht="22.949999999999999" customHeight="1">
      <c r="A40" s="65">
        <v>39</v>
      </c>
      <c r="B40" s="48" t="s">
        <v>172</v>
      </c>
      <c r="C40" s="48" t="s">
        <v>173</v>
      </c>
      <c r="D40" s="67"/>
      <c r="E40" s="48" t="s">
        <v>174</v>
      </c>
    </row>
    <row r="41" ht="22.949999999999999" customHeight="1">
      <c r="A41" s="65">
        <v>40</v>
      </c>
      <c r="B41" s="48" t="s">
        <v>175</v>
      </c>
      <c r="C41" s="48" t="s">
        <v>176</v>
      </c>
      <c r="D41" s="66">
        <v>1.1111111111111112e-02</v>
      </c>
      <c r="E41" s="48" t="s">
        <v>177</v>
      </c>
    </row>
    <row r="42" ht="22.949999999999999" customHeight="1">
      <c r="A42" s="65">
        <v>41</v>
      </c>
      <c r="B42" s="48" t="s">
        <v>178</v>
      </c>
      <c r="C42" s="48" t="s">
        <v>179</v>
      </c>
      <c r="D42" s="67"/>
      <c r="E42" s="48" t="s">
        <v>180</v>
      </c>
    </row>
    <row r="43" ht="22.949999999999999" customHeight="1">
      <c r="A43" s="65">
        <v>42</v>
      </c>
      <c r="B43" s="48" t="s">
        <v>181</v>
      </c>
      <c r="C43" s="48" t="s">
        <v>182</v>
      </c>
      <c r="D43" s="67"/>
      <c r="E43" s="48" t="s">
        <v>183</v>
      </c>
    </row>
    <row r="44" ht="22.949999999999999" customHeight="1">
      <c r="A44" s="65">
        <v>43</v>
      </c>
      <c r="B44" s="48" t="s">
        <v>184</v>
      </c>
      <c r="C44" s="48" t="s">
        <v>185</v>
      </c>
      <c r="D44" s="67"/>
      <c r="E44" s="48" t="s">
        <v>186</v>
      </c>
    </row>
    <row r="45" ht="22.949999999999999" customHeight="1">
      <c r="A45" s="65">
        <v>44</v>
      </c>
      <c r="B45" s="48" t="s">
        <v>187</v>
      </c>
      <c r="C45" s="48" t="s">
        <v>188</v>
      </c>
      <c r="D45" s="67"/>
      <c r="E45" s="48" t="s">
        <v>189</v>
      </c>
    </row>
    <row r="46" ht="22.949999999999999" customHeight="1">
      <c r="A46" s="65">
        <v>45</v>
      </c>
      <c r="B46" s="48" t="s">
        <v>190</v>
      </c>
      <c r="C46" s="48" t="s">
        <v>191</v>
      </c>
      <c r="D46" s="66">
        <v>3.472222222222222e-03</v>
      </c>
      <c r="E46" s="48" t="s">
        <v>192</v>
      </c>
    </row>
    <row r="47" ht="22.949999999999999" customHeight="1">
      <c r="A47" s="65">
        <v>46</v>
      </c>
      <c r="B47" s="48" t="s">
        <v>193</v>
      </c>
      <c r="C47" s="48" t="s">
        <v>194</v>
      </c>
      <c r="D47" s="66">
        <v>7.6388888888888886e-03</v>
      </c>
      <c r="E47" s="48" t="s">
        <v>195</v>
      </c>
    </row>
    <row r="48" ht="22.949999999999999" customHeight="1">
      <c r="A48" s="65">
        <v>47</v>
      </c>
      <c r="B48" s="48" t="s">
        <v>196</v>
      </c>
      <c r="C48" s="48" t="s">
        <v>197</v>
      </c>
      <c r="D48" s="66">
        <v>3.472222222222222e-03</v>
      </c>
      <c r="E48" s="48" t="s">
        <v>198</v>
      </c>
    </row>
    <row r="49" ht="22.949999999999999" customHeight="1">
      <c r="A49" s="65">
        <v>48</v>
      </c>
      <c r="B49" s="48" t="s">
        <v>199</v>
      </c>
      <c r="C49" s="48" t="s">
        <v>200</v>
      </c>
      <c r="D49" s="66">
        <v>1.1111111111111112e-02</v>
      </c>
      <c r="E49" s="48" t="s">
        <v>201</v>
      </c>
    </row>
    <row r="50" ht="22.949999999999999" customHeight="1">
      <c r="A50" s="65">
        <v>49</v>
      </c>
      <c r="B50" s="48" t="s">
        <v>202</v>
      </c>
      <c r="C50" s="48" t="s">
        <v>203</v>
      </c>
      <c r="D50" s="67"/>
      <c r="E50" s="48" t="s">
        <v>204</v>
      </c>
    </row>
    <row r="51" ht="22.949999999999999" customHeight="1">
      <c r="A51" s="65">
        <v>50</v>
      </c>
      <c r="B51" s="48" t="s">
        <v>205</v>
      </c>
      <c r="C51" s="48" t="s">
        <v>206</v>
      </c>
      <c r="D51" s="67"/>
      <c r="E51" s="48" t="s">
        <v>207</v>
      </c>
    </row>
    <row r="52" ht="22.949999999999999" customHeight="1">
      <c r="A52" s="65">
        <v>51</v>
      </c>
      <c r="B52" s="48" t="s">
        <v>208</v>
      </c>
      <c r="C52" s="48" t="s">
        <v>209</v>
      </c>
      <c r="D52" s="66">
        <v>2.0833333333333333e-03</v>
      </c>
      <c r="E52" s="48" t="s">
        <v>210</v>
      </c>
    </row>
    <row r="53" ht="22.949999999999999" customHeight="1">
      <c r="A53" s="65">
        <v>52</v>
      </c>
      <c r="B53" s="48" t="s">
        <v>211</v>
      </c>
      <c r="C53" s="48" t="s">
        <v>212</v>
      </c>
      <c r="D53" s="66">
        <v>4.8611111111111112e-03</v>
      </c>
      <c r="E53" s="48" t="s">
        <v>213</v>
      </c>
    </row>
    <row r="54" ht="22.949999999999999" customHeight="1">
      <c r="A54" s="65">
        <v>53</v>
      </c>
      <c r="B54" s="48" t="s">
        <v>214</v>
      </c>
      <c r="C54" s="48" t="s">
        <v>215</v>
      </c>
      <c r="D54" s="66">
        <v>1.3194444444444444e-02</v>
      </c>
      <c r="E54" s="48" t="s">
        <v>216</v>
      </c>
    </row>
    <row r="55" ht="22.949999999999999" customHeight="1">
      <c r="A55" s="65">
        <v>54</v>
      </c>
      <c r="B55" s="48" t="s">
        <v>217</v>
      </c>
      <c r="C55" s="48" t="s">
        <v>218</v>
      </c>
      <c r="D55" s="66">
        <v>6.9444444444444447e-04</v>
      </c>
      <c r="E55" s="48" t="s">
        <v>219</v>
      </c>
    </row>
    <row r="56" ht="22.949999999999999" customHeight="1">
      <c r="A56" s="65">
        <v>55</v>
      </c>
      <c r="B56" s="48" t="s">
        <v>220</v>
      </c>
      <c r="C56" s="48" t="s">
        <v>221</v>
      </c>
      <c r="D56" s="66">
        <v>6.2500000000000003e-03</v>
      </c>
      <c r="E56" s="48" t="s">
        <v>222</v>
      </c>
    </row>
    <row r="57" ht="22.949999999999999" customHeight="1">
      <c r="A57" s="65">
        <v>56</v>
      </c>
      <c r="B57" s="48" t="s">
        <v>223</v>
      </c>
      <c r="C57" s="48" t="s">
        <v>224</v>
      </c>
      <c r="D57" s="66">
        <v>1.1111111111111112e-02</v>
      </c>
      <c r="E57" s="48" t="s">
        <v>225</v>
      </c>
    </row>
    <row r="58" ht="22.949999999999999" customHeight="1">
      <c r="A58" s="65">
        <v>57</v>
      </c>
      <c r="B58" s="48" t="s">
        <v>226</v>
      </c>
      <c r="C58" s="48" t="s">
        <v>227</v>
      </c>
      <c r="D58" s="66">
        <v>8.3333333333333332e-03</v>
      </c>
      <c r="E58" s="48" t="s">
        <v>228</v>
      </c>
    </row>
    <row r="59" ht="22.949999999999999" customHeight="1">
      <c r="A59" s="65">
        <v>58</v>
      </c>
      <c r="B59" s="48" t="s">
        <v>229</v>
      </c>
      <c r="C59" s="48" t="s">
        <v>230</v>
      </c>
      <c r="D59" s="66">
        <v>9.7222222222222224e-03</v>
      </c>
      <c r="E59" s="48" t="s">
        <v>231</v>
      </c>
    </row>
    <row r="60" ht="22.949999999999999" customHeight="1">
      <c r="A60" s="65">
        <v>59</v>
      </c>
      <c r="B60" s="48" t="s">
        <v>232</v>
      </c>
      <c r="C60" s="48" t="s">
        <v>233</v>
      </c>
      <c r="D60" s="66">
        <v>1.1111111111111112e-02</v>
      </c>
      <c r="E60" s="48" t="s">
        <v>234</v>
      </c>
    </row>
    <row r="61" ht="22.949999999999999" customHeight="1">
      <c r="A61" s="65">
        <v>60</v>
      </c>
      <c r="B61" s="48" t="s">
        <v>235</v>
      </c>
      <c r="C61" s="48" t="s">
        <v>236</v>
      </c>
      <c r="D61" s="66">
        <v>4.8611111111111112e-03</v>
      </c>
      <c r="E61" s="48" t="s">
        <v>237</v>
      </c>
    </row>
    <row r="62" ht="22.949999999999999" customHeight="1">
      <c r="A62" s="65">
        <v>61</v>
      </c>
      <c r="B62" s="48" t="s">
        <v>238</v>
      </c>
      <c r="C62" s="48" t="s">
        <v>239</v>
      </c>
      <c r="D62" s="66">
        <v>6.9444444444444441e-03</v>
      </c>
      <c r="E62" s="48" t="s">
        <v>240</v>
      </c>
    </row>
    <row r="63" ht="22.949999999999999" customHeight="1">
      <c r="A63" s="65">
        <v>62</v>
      </c>
      <c r="B63" s="48" t="s">
        <v>241</v>
      </c>
      <c r="C63" s="48" t="s">
        <v>242</v>
      </c>
      <c r="D63" s="66">
        <v>9.0277777777777769e-03</v>
      </c>
      <c r="E63" s="48" t="s">
        <v>243</v>
      </c>
    </row>
    <row r="64" ht="22.949999999999999" customHeight="1">
      <c r="A64" s="65">
        <v>63</v>
      </c>
      <c r="B64" s="48" t="s">
        <v>244</v>
      </c>
      <c r="C64" s="48" t="s">
        <v>245</v>
      </c>
      <c r="D64" s="66">
        <v>1.7361111111111112e-02</v>
      </c>
      <c r="E64" s="48" t="s">
        <v>246</v>
      </c>
    </row>
    <row r="65" ht="22.949999999999999" customHeight="1">
      <c r="A65" s="65">
        <v>64</v>
      </c>
      <c r="B65" s="48" t="s">
        <v>247</v>
      </c>
      <c r="C65" s="48" t="s">
        <v>248</v>
      </c>
      <c r="D65" s="66">
        <v>1.3888888888888889e-03</v>
      </c>
      <c r="E65" s="48" t="s">
        <v>249</v>
      </c>
    </row>
    <row r="66" ht="22.949999999999999" customHeight="1">
      <c r="A66" s="65">
        <v>65</v>
      </c>
      <c r="B66" s="48" t="s">
        <v>250</v>
      </c>
      <c r="C66" s="48" t="s">
        <v>251</v>
      </c>
      <c r="D66" s="66">
        <v>6.9444444444444447e-04</v>
      </c>
      <c r="E66" s="48" t="s">
        <v>252</v>
      </c>
    </row>
    <row r="67" ht="22.949999999999999" customHeight="1">
      <c r="A67" s="65">
        <v>66</v>
      </c>
      <c r="B67" s="48" t="s">
        <v>253</v>
      </c>
      <c r="C67" s="48" t="s">
        <v>254</v>
      </c>
      <c r="D67" s="66">
        <v>6.9444444444444441e-03</v>
      </c>
      <c r="E67" s="48" t="s">
        <v>255</v>
      </c>
    </row>
    <row r="68" ht="22.949999999999999" customHeight="1">
      <c r="A68" s="65">
        <v>67</v>
      </c>
      <c r="B68" s="48" t="s">
        <v>256</v>
      </c>
      <c r="C68" s="48" t="s">
        <v>257</v>
      </c>
      <c r="D68" s="66">
        <v>2.7777777777777779e-03</v>
      </c>
      <c r="E68" s="48" t="s">
        <v>258</v>
      </c>
    </row>
    <row r="69" ht="22.949999999999999" customHeight="1">
      <c r="A69" s="65">
        <v>68</v>
      </c>
      <c r="B69" s="48" t="s">
        <v>259</v>
      </c>
      <c r="C69" s="48" t="s">
        <v>260</v>
      </c>
      <c r="D69" s="66">
        <v>6.2500000000000003e-03</v>
      </c>
      <c r="E69" s="48" t="s">
        <v>261</v>
      </c>
    </row>
    <row r="70" ht="22.949999999999999" customHeight="1">
      <c r="A70" s="65">
        <v>69</v>
      </c>
      <c r="B70" s="48" t="s">
        <v>262</v>
      </c>
      <c r="C70" s="48" t="s">
        <v>263</v>
      </c>
      <c r="D70" s="66">
        <v>9.7222222222222224e-03</v>
      </c>
      <c r="E70" s="48" t="s">
        <v>264</v>
      </c>
    </row>
    <row r="71" ht="22.949999999999999" customHeight="1">
      <c r="A71" s="65">
        <v>70</v>
      </c>
      <c r="B71" s="48" t="s">
        <v>265</v>
      </c>
      <c r="C71" s="48" t="s">
        <v>266</v>
      </c>
      <c r="D71" s="67"/>
      <c r="E71" s="48" t="s">
        <v>267</v>
      </c>
    </row>
    <row r="72" ht="22.949999999999999" customHeight="1">
      <c r="A72" s="65">
        <v>71</v>
      </c>
      <c r="B72" s="48" t="s">
        <v>268</v>
      </c>
      <c r="C72" s="48" t="s">
        <v>269</v>
      </c>
      <c r="D72" s="67"/>
      <c r="E72" s="48" t="s">
        <v>270</v>
      </c>
    </row>
    <row r="73" ht="22.949999999999999" customHeight="1">
      <c r="A73" s="65">
        <v>72</v>
      </c>
      <c r="B73" s="48" t="s">
        <v>271</v>
      </c>
      <c r="C73" s="48" t="s">
        <v>272</v>
      </c>
      <c r="D73" s="67"/>
      <c r="E73" s="48" t="s">
        <v>273</v>
      </c>
    </row>
    <row r="74" ht="22.949999999999999" customHeight="1">
      <c r="A74" s="65">
        <v>73</v>
      </c>
      <c r="B74" s="48" t="s">
        <v>274</v>
      </c>
      <c r="C74" s="48" t="s">
        <v>275</v>
      </c>
      <c r="D74" s="67"/>
      <c r="E74" s="48" t="s">
        <v>276</v>
      </c>
    </row>
    <row r="75" ht="22.949999999999999" customHeight="1">
      <c r="A75" s="65">
        <v>74</v>
      </c>
      <c r="B75" s="48" t="s">
        <v>277</v>
      </c>
      <c r="C75" s="48" t="s">
        <v>278</v>
      </c>
      <c r="D75" s="67"/>
      <c r="E75" s="48" t="s">
        <v>279</v>
      </c>
    </row>
    <row r="76" ht="22.949999999999999" customHeight="1">
      <c r="A76" s="65">
        <v>75</v>
      </c>
      <c r="B76" s="48" t="s">
        <v>280</v>
      </c>
      <c r="C76" s="48" t="s">
        <v>281</v>
      </c>
      <c r="D76" s="66">
        <v>4.1666666666666666e-03</v>
      </c>
      <c r="E76" s="48" t="s">
        <v>282</v>
      </c>
    </row>
    <row r="77" ht="22.949999999999999" customHeight="1">
      <c r="A77" s="65">
        <v>76</v>
      </c>
      <c r="B77" s="48" t="s">
        <v>283</v>
      </c>
      <c r="C77" s="48" t="s">
        <v>284</v>
      </c>
      <c r="D77" s="66">
        <v>5.5555555555555558e-03</v>
      </c>
      <c r="E77" s="48" t="s">
        <v>285</v>
      </c>
    </row>
    <row r="78" ht="22.949999999999999" customHeight="1">
      <c r="A78" s="65">
        <v>77</v>
      </c>
      <c r="B78" s="48" t="s">
        <v>286</v>
      </c>
      <c r="C78" s="48" t="s">
        <v>287</v>
      </c>
      <c r="D78" s="66">
        <v>1.0416666666666666e-02</v>
      </c>
      <c r="E78" s="48" t="s">
        <v>288</v>
      </c>
    </row>
    <row r="79" ht="22.949999999999999" customHeight="1">
      <c r="A79" s="65">
        <v>78</v>
      </c>
      <c r="B79" s="48" t="s">
        <v>289</v>
      </c>
      <c r="C79" s="48" t="s">
        <v>290</v>
      </c>
      <c r="D79" s="66">
        <v>1.1111111111111112e-02</v>
      </c>
      <c r="E79" s="48" t="s">
        <v>291</v>
      </c>
    </row>
    <row r="80" ht="22.949999999999999" customHeight="1">
      <c r="A80" s="65">
        <v>79</v>
      </c>
      <c r="B80" s="48" t="s">
        <v>292</v>
      </c>
      <c r="C80" s="48" t="s">
        <v>293</v>
      </c>
      <c r="D80" s="66">
        <v>5.5555555555555558e-03</v>
      </c>
      <c r="E80" s="48" t="s">
        <v>294</v>
      </c>
    </row>
    <row r="81" ht="22.949999999999999" customHeight="1">
      <c r="A81" s="65">
        <v>80</v>
      </c>
      <c r="B81" s="48" t="s">
        <v>295</v>
      </c>
      <c r="C81" s="48" t="s">
        <v>296</v>
      </c>
      <c r="D81" s="66">
        <v>1.1805555555555555e-02</v>
      </c>
      <c r="E81" s="48" t="s">
        <v>297</v>
      </c>
    </row>
    <row r="82" ht="22.949999999999999" customHeight="1">
      <c r="A82" s="65">
        <v>81</v>
      </c>
      <c r="B82" s="48" t="s">
        <v>298</v>
      </c>
      <c r="C82" s="48" t="s">
        <v>299</v>
      </c>
      <c r="D82" s="66">
        <v>8.3333333333333332e-03</v>
      </c>
      <c r="E82" s="48" t="s">
        <v>300</v>
      </c>
    </row>
    <row r="83" ht="22.949999999999999" customHeight="1">
      <c r="A83" s="65">
        <v>82</v>
      </c>
      <c r="B83" s="48" t="s">
        <v>301</v>
      </c>
      <c r="C83" s="48" t="s">
        <v>302</v>
      </c>
      <c r="D83" s="66">
        <v>9.0277777777777769e-03</v>
      </c>
      <c r="E83" s="48" t="s">
        <v>303</v>
      </c>
    </row>
    <row r="84" ht="22.949999999999999" customHeight="1">
      <c r="A84" s="65">
        <v>83</v>
      </c>
      <c r="B84" s="48" t="s">
        <v>304</v>
      </c>
      <c r="C84" s="48" t="s">
        <v>305</v>
      </c>
      <c r="D84" s="66">
        <v>6.2500000000000003e-03</v>
      </c>
      <c r="E84" s="48" t="s">
        <v>306</v>
      </c>
    </row>
    <row r="85" ht="22.949999999999999" customHeight="1">
      <c r="A85" s="65">
        <v>84</v>
      </c>
      <c r="B85" s="48" t="s">
        <v>307</v>
      </c>
      <c r="C85" s="48" t="s">
        <v>308</v>
      </c>
      <c r="D85" s="66">
        <v>1.2500000000000001e-02</v>
      </c>
      <c r="E85" s="48" t="s">
        <v>309</v>
      </c>
    </row>
    <row r="86" ht="22.949999999999999" customHeight="1">
      <c r="A86" s="65">
        <v>85</v>
      </c>
      <c r="B86" s="48" t="s">
        <v>310</v>
      </c>
      <c r="C86" s="48" t="s">
        <v>311</v>
      </c>
      <c r="D86" s="66">
        <v>1.4583333333333334e-02</v>
      </c>
      <c r="E86" s="48" t="s">
        <v>312</v>
      </c>
    </row>
    <row r="87" ht="22.949999999999999" customHeight="1">
      <c r="A87" s="65">
        <v>86</v>
      </c>
      <c r="B87" s="48" t="s">
        <v>313</v>
      </c>
      <c r="C87" s="48" t="s">
        <v>314</v>
      </c>
      <c r="D87" s="66">
        <v>1.5277777777777777e-02</v>
      </c>
      <c r="E87" s="48" t="s">
        <v>315</v>
      </c>
    </row>
    <row r="88" ht="22.949999999999999" customHeight="1">
      <c r="A88" s="65">
        <v>87</v>
      </c>
      <c r="B88" s="48" t="s">
        <v>316</v>
      </c>
      <c r="C88" s="48" t="s">
        <v>317</v>
      </c>
      <c r="D88" s="66">
        <v>5.5555555555555558e-03</v>
      </c>
      <c r="E88" s="48" t="s">
        <v>318</v>
      </c>
    </row>
    <row r="89" ht="22.949999999999999" customHeight="1">
      <c r="A89" s="65">
        <v>88</v>
      </c>
      <c r="B89" s="48" t="s">
        <v>319</v>
      </c>
      <c r="C89" s="48" t="s">
        <v>320</v>
      </c>
      <c r="D89" s="67"/>
      <c r="E89" s="48" t="s">
        <v>321</v>
      </c>
    </row>
    <row r="90" ht="22.949999999999999" customHeight="1">
      <c r="A90" s="65">
        <v>89</v>
      </c>
      <c r="B90" s="48" t="s">
        <v>322</v>
      </c>
      <c r="C90" s="48" t="s">
        <v>323</v>
      </c>
      <c r="D90" s="67"/>
      <c r="E90" s="48" t="s">
        <v>324</v>
      </c>
    </row>
    <row r="91" ht="22.949999999999999" customHeight="1">
      <c r="A91" s="65">
        <v>90</v>
      </c>
      <c r="B91" s="48" t="s">
        <v>325</v>
      </c>
      <c r="C91" s="48" t="s">
        <v>326</v>
      </c>
      <c r="D91" s="67"/>
      <c r="E91" s="48" t="s">
        <v>327</v>
      </c>
    </row>
    <row r="92" ht="22.949999999999999" customHeight="1">
      <c r="A92" s="65">
        <v>91</v>
      </c>
      <c r="B92" s="48" t="s">
        <v>328</v>
      </c>
      <c r="C92" s="48" t="s">
        <v>329</v>
      </c>
      <c r="D92" s="67"/>
      <c r="E92" s="48" t="s">
        <v>330</v>
      </c>
    </row>
    <row r="93" ht="22.949999999999999" customHeight="1">
      <c r="A93" s="65">
        <v>92</v>
      </c>
      <c r="B93" s="48" t="s">
        <v>331</v>
      </c>
      <c r="C93" s="48" t="s">
        <v>332</v>
      </c>
      <c r="D93" s="67"/>
      <c r="E93" s="48" t="s">
        <v>333</v>
      </c>
    </row>
    <row r="94" ht="22.949999999999999" customHeight="1">
      <c r="A94" s="65">
        <v>93</v>
      </c>
      <c r="B94" s="48" t="s">
        <v>334</v>
      </c>
      <c r="C94" s="48" t="s">
        <v>335</v>
      </c>
      <c r="D94" s="67"/>
      <c r="E94" s="48" t="s">
        <v>336</v>
      </c>
    </row>
    <row r="95" ht="22.949999999999999" customHeight="1">
      <c r="A95" s="65">
        <v>94</v>
      </c>
      <c r="B95" s="48" t="s">
        <v>337</v>
      </c>
      <c r="C95" s="48" t="s">
        <v>338</v>
      </c>
      <c r="D95" s="66">
        <v>8.3333333333333332e-03</v>
      </c>
      <c r="E95" s="48" t="s">
        <v>339</v>
      </c>
    </row>
    <row r="96" ht="22.949999999999999" customHeight="1">
      <c r="A96" s="65">
        <v>95</v>
      </c>
      <c r="B96" s="48" t="s">
        <v>340</v>
      </c>
      <c r="C96" s="48" t="s">
        <v>341</v>
      </c>
      <c r="D96" s="66">
        <v>4.8611111111111112e-03</v>
      </c>
      <c r="E96" s="48" t="s">
        <v>342</v>
      </c>
    </row>
    <row r="97" ht="22.949999999999999" customHeight="1">
      <c r="A97" s="65">
        <v>96</v>
      </c>
      <c r="B97" s="48" t="s">
        <v>343</v>
      </c>
      <c r="C97" s="48" t="s">
        <v>344</v>
      </c>
      <c r="D97" s="66">
        <v>1.4583333333333334e-02</v>
      </c>
      <c r="E97" s="48" t="s">
        <v>345</v>
      </c>
    </row>
    <row r="98" ht="22.949999999999999" customHeight="1">
      <c r="A98" s="65">
        <v>97</v>
      </c>
      <c r="B98" s="48" t="s">
        <v>346</v>
      </c>
      <c r="C98" s="48" t="s">
        <v>347</v>
      </c>
      <c r="D98" s="66">
        <v>2.0833333333333333e-03</v>
      </c>
      <c r="E98" s="48" t="s">
        <v>348</v>
      </c>
    </row>
    <row r="99" ht="22.949999999999999" customHeight="1">
      <c r="A99" s="65">
        <v>98</v>
      </c>
      <c r="B99" s="48" t="s">
        <v>349</v>
      </c>
      <c r="C99" s="48" t="s">
        <v>350</v>
      </c>
      <c r="D99" s="66">
        <v>1.1111111111111112e-02</v>
      </c>
      <c r="E99" s="48" t="s">
        <v>351</v>
      </c>
    </row>
    <row r="100" ht="22.949999999999999" customHeight="1">
      <c r="A100" s="65">
        <v>99</v>
      </c>
      <c r="B100" s="48" t="s">
        <v>352</v>
      </c>
      <c r="C100" s="48" t="s">
        <v>353</v>
      </c>
      <c r="D100" s="66">
        <v>8.3333333333333332e-03</v>
      </c>
      <c r="E100" s="48" t="s">
        <v>354</v>
      </c>
    </row>
    <row r="101" ht="22.949999999999999" customHeight="1">
      <c r="A101" s="65">
        <v>100</v>
      </c>
      <c r="B101" s="48" t="s">
        <v>355</v>
      </c>
      <c r="C101" s="48" t="s">
        <v>356</v>
      </c>
      <c r="D101" s="66">
        <v>1.1805555555555555e-02</v>
      </c>
      <c r="E101" s="48" t="s">
        <v>357</v>
      </c>
    </row>
    <row r="102" ht="22.949999999999999" customHeight="1">
      <c r="A102" s="65">
        <v>101</v>
      </c>
      <c r="B102" s="48" t="s">
        <v>358</v>
      </c>
      <c r="C102" s="48" t="s">
        <v>359</v>
      </c>
      <c r="D102" s="66">
        <v>1.4583333333333334e-02</v>
      </c>
      <c r="E102" s="48" t="s">
        <v>360</v>
      </c>
    </row>
    <row r="103" ht="22.949999999999999" customHeight="1">
      <c r="A103" s="65">
        <v>102</v>
      </c>
      <c r="B103" s="48" t="s">
        <v>361</v>
      </c>
      <c r="C103" s="48" t="s">
        <v>362</v>
      </c>
      <c r="D103" s="66">
        <v>1.7361111111111112e-02</v>
      </c>
      <c r="E103" s="48" t="s">
        <v>363</v>
      </c>
    </row>
    <row r="104" ht="22.949999999999999" customHeight="1">
      <c r="A104" s="65">
        <v>103</v>
      </c>
      <c r="B104" s="48" t="s">
        <v>364</v>
      </c>
      <c r="C104" s="48" t="s">
        <v>365</v>
      </c>
      <c r="D104" s="66">
        <v>1.6666666666666666e-02</v>
      </c>
      <c r="E104" s="48" t="s">
        <v>366</v>
      </c>
    </row>
    <row r="105" ht="22.949999999999999" customHeight="1">
      <c r="A105" s="65">
        <v>104</v>
      </c>
      <c r="B105" s="48" t="s">
        <v>367</v>
      </c>
      <c r="C105" s="48" t="s">
        <v>368</v>
      </c>
      <c r="D105" s="66">
        <v>3.472222222222222e-03</v>
      </c>
      <c r="E105" s="48" t="s">
        <v>369</v>
      </c>
    </row>
    <row r="106" ht="22.949999999999999" customHeight="1">
      <c r="A106" s="65">
        <v>105</v>
      </c>
      <c r="B106" s="48" t="s">
        <v>370</v>
      </c>
      <c r="C106" s="48" t="s">
        <v>371</v>
      </c>
      <c r="D106" s="66">
        <v>6.2500000000000003e-03</v>
      </c>
      <c r="E106" s="48" t="s">
        <v>372</v>
      </c>
    </row>
    <row r="107" ht="22.949999999999999" customHeight="1">
      <c r="A107" s="65">
        <v>106</v>
      </c>
      <c r="B107" s="48" t="s">
        <v>373</v>
      </c>
      <c r="C107" s="48" t="s">
        <v>374</v>
      </c>
      <c r="D107" s="66">
        <v>9.0277777777777769e-03</v>
      </c>
      <c r="E107" s="48" t="s">
        <v>375</v>
      </c>
    </row>
    <row r="108" ht="22.949999999999999" customHeight="1">
      <c r="A108" s="65">
        <v>107</v>
      </c>
      <c r="B108" s="48" t="s">
        <v>376</v>
      </c>
      <c r="C108" s="48" t="s">
        <v>377</v>
      </c>
      <c r="D108" s="66">
        <v>1.1111111111111112e-02</v>
      </c>
      <c r="E108" s="48" t="s">
        <v>378</v>
      </c>
    </row>
    <row r="109" ht="22.949999999999999" customHeight="1">
      <c r="A109" s="65">
        <v>108</v>
      </c>
      <c r="B109" s="48" t="s">
        <v>379</v>
      </c>
      <c r="C109" s="48" t="s">
        <v>380</v>
      </c>
      <c r="D109" s="66">
        <v>1.2500000000000001e-02</v>
      </c>
      <c r="E109" s="48" t="s">
        <v>381</v>
      </c>
    </row>
    <row r="110" ht="22.949999999999999" customHeight="1">
      <c r="A110" s="65">
        <v>109</v>
      </c>
      <c r="B110" s="48" t="s">
        <v>382</v>
      </c>
      <c r="C110" s="48" t="s">
        <v>383</v>
      </c>
      <c r="D110" s="66">
        <v>1.5972222222222221e-02</v>
      </c>
      <c r="E110" s="48" t="s">
        <v>384</v>
      </c>
    </row>
    <row r="111" ht="22.949999999999999" customHeight="1">
      <c r="A111" s="65">
        <v>110</v>
      </c>
      <c r="B111" s="48" t="s">
        <v>385</v>
      </c>
      <c r="C111" s="48" t="s">
        <v>386</v>
      </c>
      <c r="D111" s="66">
        <v>7.6388888888888886e-03</v>
      </c>
      <c r="E111" s="48" t="s">
        <v>387</v>
      </c>
    </row>
    <row r="112" ht="22.949999999999999" customHeight="1">
      <c r="A112" s="65">
        <v>111</v>
      </c>
      <c r="B112" s="48" t="s">
        <v>388</v>
      </c>
      <c r="C112" s="48" t="s">
        <v>389</v>
      </c>
      <c r="D112" s="66">
        <v>1.4583333333333334e-02</v>
      </c>
      <c r="E112" s="48" t="s">
        <v>390</v>
      </c>
    </row>
    <row r="113" ht="22.949999999999999" customHeight="1">
      <c r="A113" s="65">
        <v>112</v>
      </c>
      <c r="B113" s="48" t="s">
        <v>391</v>
      </c>
      <c r="C113" s="48" t="s">
        <v>392</v>
      </c>
      <c r="D113" s="66">
        <v>1.5972222222222221e-02</v>
      </c>
      <c r="E113" s="48" t="s">
        <v>393</v>
      </c>
    </row>
    <row r="114" ht="22.949999999999999" customHeight="1">
      <c r="A114" s="65">
        <v>113</v>
      </c>
      <c r="B114" s="48" t="s">
        <v>394</v>
      </c>
      <c r="C114" s="48" t="s">
        <v>395</v>
      </c>
      <c r="D114" s="66">
        <v>1.6666666666666666e-02</v>
      </c>
      <c r="E114" s="48" t="s">
        <v>396</v>
      </c>
    </row>
    <row r="115" ht="22.949999999999999" customHeight="1">
      <c r="A115" s="65">
        <v>114</v>
      </c>
      <c r="B115" s="48" t="s">
        <v>397</v>
      </c>
      <c r="C115" s="48" t="s">
        <v>398</v>
      </c>
      <c r="D115" s="66">
        <v>2.0833333333333333e-03</v>
      </c>
      <c r="E115" s="48" t="s">
        <v>399</v>
      </c>
    </row>
    <row r="116" ht="22.949999999999999" customHeight="1">
      <c r="A116" s="65">
        <v>115</v>
      </c>
      <c r="B116" s="48" t="s">
        <v>400</v>
      </c>
      <c r="C116" s="48" t="s">
        <v>401</v>
      </c>
      <c r="D116" s="66">
        <v>1.6666666666666666e-02</v>
      </c>
      <c r="E116" s="48" t="s">
        <v>402</v>
      </c>
    </row>
    <row r="117" ht="22.949999999999999" customHeight="1">
      <c r="A117" s="68"/>
      <c r="B117" s="67"/>
      <c r="C117" s="67"/>
      <c r="D117" s="67"/>
      <c r="E117" s="67"/>
    </row>
    <row r="118" ht="22.949999999999999" customHeight="1">
      <c r="A118" s="68"/>
      <c r="B118" s="67"/>
      <c r="C118" s="67"/>
      <c r="D118" s="67"/>
      <c r="E118" s="67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6.8305999999999996"/>
    <col customWidth="1" min="2" max="2" width="18.972799999999999"/>
    <col customWidth="1" min="3" max="3" width="8.6240000000000006"/>
    <col customWidth="1" min="4" max="4" width="7.4185999999999996"/>
    <col customWidth="1" min="5" max="5" width="7.8204000000000002"/>
    <col customWidth="1" min="6" max="1024" width="7.8204000000000002"/>
  </cols>
  <sheetData>
    <row r="1" ht="22.899999999999999" customHeight="1">
      <c r="A1" s="60" t="s">
        <v>403</v>
      </c>
      <c r="B1" s="61" t="s">
        <v>404</v>
      </c>
      <c r="C1" s="69" t="s">
        <v>405</v>
      </c>
      <c r="D1" s="70" t="s">
        <v>406</v>
      </c>
      <c r="E1" s="71" t="s">
        <v>407</v>
      </c>
    </row>
    <row r="2" ht="22.899999999999999" customHeight="1">
      <c r="A2" s="65">
        <v>1</v>
      </c>
      <c r="B2" s="48" t="s">
        <v>408</v>
      </c>
      <c r="C2" s="48" t="s">
        <v>409</v>
      </c>
      <c r="D2" s="66">
        <v>8.3333333333333332e-03</v>
      </c>
      <c r="E2" s="48" t="s">
        <v>410</v>
      </c>
    </row>
    <row r="3" ht="22.899999999999999" customHeight="1">
      <c r="A3" s="65">
        <v>2</v>
      </c>
      <c r="B3" s="48" t="s">
        <v>411</v>
      </c>
      <c r="C3" s="48" t="s">
        <v>412</v>
      </c>
      <c r="D3" s="66">
        <v>5.5555555555555558e-03</v>
      </c>
      <c r="E3" s="48" t="s">
        <v>413</v>
      </c>
    </row>
    <row r="4" ht="22.899999999999999" customHeight="1">
      <c r="A4" s="65">
        <v>3</v>
      </c>
      <c r="B4" s="48" t="s">
        <v>414</v>
      </c>
      <c r="C4" s="48" t="s">
        <v>415</v>
      </c>
      <c r="D4" s="66">
        <v>2.0833333333333333e-03</v>
      </c>
      <c r="E4" s="48" t="s">
        <v>416</v>
      </c>
    </row>
    <row r="5" ht="22.899999999999999" customHeight="1">
      <c r="A5" s="65">
        <v>4</v>
      </c>
      <c r="B5" s="48" t="s">
        <v>417</v>
      </c>
      <c r="C5" s="48" t="s">
        <v>418</v>
      </c>
      <c r="D5" s="66">
        <v>1.3888888888888889e-03</v>
      </c>
      <c r="E5" s="48" t="s">
        <v>419</v>
      </c>
    </row>
    <row r="6" ht="22.899999999999999" customHeight="1">
      <c r="A6" s="65">
        <v>5</v>
      </c>
      <c r="B6" s="48" t="s">
        <v>420</v>
      </c>
      <c r="C6" s="48" t="s">
        <v>421</v>
      </c>
      <c r="D6" s="66">
        <v>3.472222222222222e-03</v>
      </c>
      <c r="E6" s="48" t="s">
        <v>422</v>
      </c>
    </row>
    <row r="7" ht="22.899999999999999" customHeight="1">
      <c r="A7" s="65">
        <v>6</v>
      </c>
      <c r="B7" s="48" t="s">
        <v>423</v>
      </c>
      <c r="C7" s="48" t="s">
        <v>424</v>
      </c>
      <c r="D7" s="66">
        <v>1.0416666666666666e-02</v>
      </c>
      <c r="E7" s="48" t="s">
        <v>425</v>
      </c>
    </row>
    <row r="8" ht="22.899999999999999" customHeight="1">
      <c r="A8" s="65">
        <v>7</v>
      </c>
      <c r="B8" s="48" t="s">
        <v>426</v>
      </c>
      <c r="C8" s="48" t="s">
        <v>427</v>
      </c>
      <c r="D8" s="66">
        <v>1.5277777777777777e-02</v>
      </c>
      <c r="E8" s="48" t="s">
        <v>428</v>
      </c>
    </row>
    <row r="9" ht="22.899999999999999" customHeight="1">
      <c r="A9" s="65">
        <v>8</v>
      </c>
      <c r="B9" s="48" t="s">
        <v>429</v>
      </c>
      <c r="C9" s="48" t="s">
        <v>430</v>
      </c>
      <c r="D9" s="66">
        <v>1.6666666666666666e-02</v>
      </c>
      <c r="E9" s="48" t="s">
        <v>431</v>
      </c>
    </row>
    <row r="10" ht="22.899999999999999" customHeight="1">
      <c r="A10" s="65">
        <v>9</v>
      </c>
      <c r="B10" s="72" t="s">
        <v>432</v>
      </c>
      <c r="C10" s="72" t="s">
        <v>433</v>
      </c>
      <c r="D10" s="73"/>
      <c r="E10" s="72" t="s">
        <v>434</v>
      </c>
    </row>
    <row r="11" ht="22.899999999999999" customHeight="1">
      <c r="A11" s="65">
        <v>10</v>
      </c>
      <c r="B11" s="72" t="s">
        <v>435</v>
      </c>
      <c r="C11" s="72" t="s">
        <v>436</v>
      </c>
      <c r="D11" s="73"/>
      <c r="E11" s="72" t="s">
        <v>437</v>
      </c>
    </row>
    <row r="12" ht="22.899999999999999" customHeight="1">
      <c r="A12" s="65">
        <v>11</v>
      </c>
      <c r="B12" s="72" t="s">
        <v>438</v>
      </c>
      <c r="C12" s="72" t="s">
        <v>439</v>
      </c>
      <c r="D12" s="73"/>
      <c r="E12" s="72" t="s">
        <v>440</v>
      </c>
    </row>
    <row r="13" ht="22.899999999999999" customHeight="1">
      <c r="A13" s="65">
        <v>12</v>
      </c>
      <c r="B13" s="48" t="s">
        <v>441</v>
      </c>
      <c r="C13" s="48" t="s">
        <v>442</v>
      </c>
      <c r="D13" s="67"/>
      <c r="E13" s="48" t="s">
        <v>443</v>
      </c>
    </row>
    <row r="14" ht="22.899999999999999" customHeight="1">
      <c r="A14" s="65">
        <v>13</v>
      </c>
      <c r="B14" s="48" t="s">
        <v>444</v>
      </c>
      <c r="C14" s="48" t="s">
        <v>445</v>
      </c>
      <c r="D14" s="67"/>
      <c r="E14" s="48" t="s">
        <v>446</v>
      </c>
    </row>
    <row r="15" ht="22.899999999999999" customHeight="1">
      <c r="A15" s="65">
        <v>14</v>
      </c>
      <c r="B15" s="48" t="s">
        <v>447</v>
      </c>
      <c r="C15" s="48" t="s">
        <v>448</v>
      </c>
      <c r="D15" s="66">
        <v>7.6388888888888886e-03</v>
      </c>
      <c r="E15" s="48" t="s">
        <v>449</v>
      </c>
    </row>
    <row r="16" ht="22.899999999999999" customHeight="1">
      <c r="A16" s="65">
        <v>15</v>
      </c>
      <c r="B16" s="48" t="s">
        <v>450</v>
      </c>
      <c r="C16" s="48" t="s">
        <v>451</v>
      </c>
      <c r="D16" s="66">
        <v>1.1111111111111112e-02</v>
      </c>
      <c r="E16" s="48" t="s">
        <v>452</v>
      </c>
    </row>
    <row r="17" ht="22.899999999999999" customHeight="1">
      <c r="A17" s="65">
        <v>16</v>
      </c>
      <c r="B17" s="48" t="s">
        <v>453</v>
      </c>
      <c r="C17" s="48" t="s">
        <v>454</v>
      </c>
      <c r="D17" s="67"/>
      <c r="E17" s="48" t="s">
        <v>455</v>
      </c>
    </row>
    <row r="18" ht="22.899999999999999" customHeight="1">
      <c r="A18" s="65">
        <v>17</v>
      </c>
      <c r="B18" s="48" t="s">
        <v>456</v>
      </c>
      <c r="C18" s="48" t="s">
        <v>457</v>
      </c>
      <c r="D18" s="66">
        <v>6.2500000000000003e-03</v>
      </c>
      <c r="E18" s="48" t="s">
        <v>458</v>
      </c>
    </row>
    <row r="19" ht="22.899999999999999" customHeight="1">
      <c r="A19" s="65">
        <v>18</v>
      </c>
      <c r="B19" s="48" t="s">
        <v>459</v>
      </c>
      <c r="C19" s="48" t="s">
        <v>460</v>
      </c>
      <c r="D19" s="66">
        <v>6.9444444444444441e-03</v>
      </c>
      <c r="E19" s="48" t="s">
        <v>461</v>
      </c>
    </row>
    <row r="20" ht="22.899999999999999" customHeight="1">
      <c r="A20" s="65">
        <v>19</v>
      </c>
      <c r="B20" s="48" t="s">
        <v>462</v>
      </c>
      <c r="C20" s="48" t="s">
        <v>463</v>
      </c>
      <c r="D20" s="66">
        <v>9.0277777777777769e-03</v>
      </c>
      <c r="E20" s="48" t="s">
        <v>464</v>
      </c>
    </row>
    <row r="21" ht="22.899999999999999" customHeight="1">
      <c r="A21" s="65">
        <v>20</v>
      </c>
      <c r="B21" s="48" t="s">
        <v>465</v>
      </c>
      <c r="C21" s="48" t="s">
        <v>466</v>
      </c>
      <c r="D21" s="66">
        <v>6.2500000000000003e-03</v>
      </c>
      <c r="E21" s="48" t="s">
        <v>467</v>
      </c>
    </row>
    <row r="22" ht="22.899999999999999" customHeight="1">
      <c r="A22" s="65">
        <v>21</v>
      </c>
      <c r="B22" s="48" t="s">
        <v>468</v>
      </c>
      <c r="C22" s="48" t="s">
        <v>469</v>
      </c>
      <c r="D22" s="67"/>
      <c r="E22" s="48" t="s">
        <v>470</v>
      </c>
    </row>
    <row r="23" ht="22.899999999999999" customHeight="1">
      <c r="A23" s="65">
        <v>22</v>
      </c>
      <c r="B23" s="48" t="s">
        <v>471</v>
      </c>
      <c r="C23" s="48" t="s">
        <v>472</v>
      </c>
      <c r="D23" s="67"/>
      <c r="E23" s="48" t="s">
        <v>473</v>
      </c>
    </row>
    <row r="24" ht="22.899999999999999" customHeight="1">
      <c r="A24" s="65">
        <v>23</v>
      </c>
      <c r="B24" s="48" t="s">
        <v>474</v>
      </c>
      <c r="C24" s="48" t="s">
        <v>475</v>
      </c>
      <c r="D24" s="67"/>
      <c r="E24" s="48" t="s">
        <v>476</v>
      </c>
    </row>
    <row r="25" ht="22.899999999999999" customHeight="1">
      <c r="A25" s="65">
        <v>24</v>
      </c>
      <c r="B25" s="48" t="s">
        <v>477</v>
      </c>
      <c r="C25" s="48" t="s">
        <v>478</v>
      </c>
      <c r="D25" s="66">
        <v>5.5555555555555558e-03</v>
      </c>
      <c r="E25" s="48" t="s">
        <v>479</v>
      </c>
    </row>
    <row r="26" ht="22.899999999999999" customHeight="1">
      <c r="A26" s="65">
        <v>25</v>
      </c>
      <c r="B26" s="48" t="s">
        <v>480</v>
      </c>
      <c r="C26" s="48" t="s">
        <v>481</v>
      </c>
      <c r="D26" s="66">
        <v>1.1111111111111112e-02</v>
      </c>
      <c r="E26" s="48" t="s">
        <v>482</v>
      </c>
    </row>
    <row r="27" ht="22.899999999999999" customHeight="1">
      <c r="A27" s="65">
        <v>26</v>
      </c>
      <c r="B27" s="48" t="s">
        <v>483</v>
      </c>
      <c r="C27" s="48" t="s">
        <v>484</v>
      </c>
      <c r="D27" s="66">
        <v>5.5555555555555558e-03</v>
      </c>
      <c r="E27" s="48" t="s">
        <v>485</v>
      </c>
    </row>
    <row r="28" ht="22.899999999999999" customHeight="1">
      <c r="A28" s="65">
        <v>27</v>
      </c>
      <c r="B28" s="48" t="s">
        <v>486</v>
      </c>
      <c r="C28" s="48" t="s">
        <v>487</v>
      </c>
      <c r="D28" s="66">
        <v>1.1805555555555555e-02</v>
      </c>
      <c r="E28" s="48" t="s">
        <v>488</v>
      </c>
    </row>
    <row r="29" ht="22.899999999999999" customHeight="1">
      <c r="A29" s="65">
        <v>28</v>
      </c>
      <c r="B29" s="48" t="s">
        <v>489</v>
      </c>
      <c r="C29" s="48" t="s">
        <v>490</v>
      </c>
      <c r="D29" s="66">
        <v>9.0277777777777769e-03</v>
      </c>
      <c r="E29" s="48" t="s">
        <v>491</v>
      </c>
    </row>
    <row r="30" ht="22.899999999999999" customHeight="1">
      <c r="A30" s="65">
        <v>29</v>
      </c>
      <c r="B30" s="48" t="s">
        <v>492</v>
      </c>
      <c r="C30" s="48" t="s">
        <v>493</v>
      </c>
      <c r="D30" s="66">
        <v>1.2500000000000001e-02</v>
      </c>
      <c r="E30" s="48" t="s">
        <v>494</v>
      </c>
    </row>
    <row r="31" ht="22.899999999999999" customHeight="1">
      <c r="A31" s="65">
        <v>30</v>
      </c>
      <c r="B31" s="48" t="s">
        <v>495</v>
      </c>
      <c r="C31" s="48" t="s">
        <v>496</v>
      </c>
      <c r="D31" s="66">
        <v>1.4583333333333334e-02</v>
      </c>
      <c r="E31" s="48" t="s">
        <v>497</v>
      </c>
    </row>
    <row r="32" ht="22.899999999999999" customHeight="1">
      <c r="A32" s="65">
        <v>31</v>
      </c>
      <c r="B32" s="48" t="s">
        <v>498</v>
      </c>
      <c r="C32" s="48" t="s">
        <v>499</v>
      </c>
      <c r="D32" s="66">
        <v>8.3333333333333332e-03</v>
      </c>
      <c r="E32" s="48" t="s">
        <v>500</v>
      </c>
    </row>
    <row r="33" ht="22.899999999999999" customHeight="1">
      <c r="A33" s="65">
        <v>32</v>
      </c>
      <c r="B33" s="48" t="s">
        <v>501</v>
      </c>
      <c r="C33" s="48" t="s">
        <v>502</v>
      </c>
      <c r="D33" s="66">
        <v>1.1805555555555555e-02</v>
      </c>
      <c r="E33" s="48" t="s">
        <v>503</v>
      </c>
    </row>
    <row r="34" ht="22.899999999999999" customHeight="1">
      <c r="A34" s="65">
        <v>33</v>
      </c>
      <c r="B34" s="48" t="s">
        <v>504</v>
      </c>
      <c r="C34" s="48" t="s">
        <v>505</v>
      </c>
      <c r="D34" s="66">
        <v>1.4583333333333334e-02</v>
      </c>
      <c r="E34" s="48" t="s">
        <v>506</v>
      </c>
    </row>
    <row r="35" ht="22.899999999999999" customHeight="1">
      <c r="A35" s="65">
        <v>34</v>
      </c>
      <c r="B35" s="67"/>
      <c r="C35" s="67"/>
      <c r="D35" s="67"/>
      <c r="E35" s="67"/>
    </row>
    <row r="36" ht="22.899999999999999" customHeight="1">
      <c r="A36" s="65">
        <v>35</v>
      </c>
      <c r="B36" s="67"/>
      <c r="C36" s="67"/>
      <c r="D36" s="67"/>
      <c r="E36" s="67"/>
    </row>
    <row r="37" ht="22.899999999999999" customHeight="1">
      <c r="A37" s="65">
        <v>36</v>
      </c>
      <c r="B37" s="67"/>
      <c r="C37" s="67"/>
      <c r="D37" s="67"/>
      <c r="E37" s="67"/>
    </row>
    <row r="38" ht="22.899999999999999" customHeight="1">
      <c r="A38" s="65">
        <v>37</v>
      </c>
      <c r="B38" s="67"/>
      <c r="C38" s="67"/>
      <c r="D38" s="67"/>
      <c r="E38" s="67"/>
    </row>
    <row r="39" ht="22.899999999999999" customHeight="1">
      <c r="A39" s="65">
        <v>38</v>
      </c>
      <c r="B39" s="67"/>
      <c r="C39" s="67"/>
      <c r="D39" s="67"/>
      <c r="E39" s="67"/>
    </row>
    <row r="40" ht="22.899999999999999" customHeight="1">
      <c r="A40" s="65">
        <v>39</v>
      </c>
      <c r="B40" s="67"/>
      <c r="C40" s="67"/>
      <c r="D40" s="67"/>
      <c r="E40" s="67"/>
    </row>
    <row r="41" ht="22.899999999999999" customHeight="1">
      <c r="A41" s="65">
        <v>40</v>
      </c>
      <c r="B41" s="67"/>
      <c r="C41" s="67"/>
      <c r="D41" s="67"/>
      <c r="E41" s="67"/>
    </row>
    <row r="42" ht="22.899999999999999" customHeight="1">
      <c r="A42" s="68"/>
      <c r="B42" s="67"/>
      <c r="C42" s="67"/>
      <c r="D42" s="67"/>
      <c r="E42" s="67"/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13.533799999999999"/>
    <col customWidth="1" min="2" max="2" width="13.533799999999999"/>
    <col customWidth="1" min="3" max="1024" width="13.533799999999999"/>
  </cols>
  <sheetData>
    <row r="1" ht="25.600000000000001" customHeight="1">
      <c r="A1" s="74" t="s">
        <v>507</v>
      </c>
      <c r="B1" s="4" t="s">
        <v>508</v>
      </c>
    </row>
    <row r="2" ht="25.350000000000001" customHeight="1">
      <c r="A2" s="34" t="s">
        <v>509</v>
      </c>
      <c r="B2" s="75">
        <f>Sum(L9,L9,L9,L9,L9,L9,L9,L9,L9,L9,L9,L9,L9,L9,L9,L9,L9,L9,L9,L9,L9,L9,L9,L9,L9,L9)</f>
        <v>32</v>
      </c>
    </row>
    <row r="3" ht="25.350000000000001" customHeight="1">
      <c r="A3" s="34" t="s">
        <v>510</v>
      </c>
      <c r="B3" s="75">
        <f>Sum(L17,L17,L17,L17,L17,L17,L17,L17,L17,L17,L17,L17,L17,L17,L17,L17,L17,L17,L17,L17,L17,L17,L17,L17,L17,L17)</f>
        <v>24</v>
      </c>
    </row>
    <row r="4" ht="25.350000000000001" customHeight="1">
      <c r="A4" s="34" t="s">
        <v>511</v>
      </c>
      <c r="B4" s="75">
        <f>Sum(L6,L6,L6,L6,L6,L6,L6,L6,L6,L6,L6,L6,L6,L6,L6,L6,L6,L6,L6,L6,L6,L6,L6,L6,L6,L6)</f>
        <v>14</v>
      </c>
    </row>
    <row r="5" ht="25.350000000000001" customHeight="1">
      <c r="A5" s="34" t="s">
        <v>512</v>
      </c>
      <c r="B5" s="75">
        <f>Sum(L8,L8,L8,L8,L8,L8,L8,L8,L8,L8,L8,L8,L8,L8,L8,L8,L8,L8,L8,L8,L8,L8,L8,L8,L8,L8)</f>
        <v>10</v>
      </c>
    </row>
    <row r="6" ht="25.350000000000001" customHeight="1">
      <c r="A6" s="34" t="s">
        <v>513</v>
      </c>
      <c r="B6" s="75">
        <f>Sum(L13,L13,L13,L13,L13,L13,L13,L13,L13,L13,L13,L13,L13,L13,L13,L13,L13,L13,L13,L13,L13,L13,L13,L13,L13,L13)</f>
        <v>8</v>
      </c>
    </row>
    <row r="7" ht="25.350000000000001" customHeight="1">
      <c r="A7" s="34" t="s">
        <v>514</v>
      </c>
      <c r="B7" s="75">
        <f>Sum(L15,L15,L15,L15,L15,L15,L15,L15,L15,L15,L15,L15,L15,L15,L15,L15,L15,L15,L15,L15,L15,L15,L15,L15,L15,L15)</f>
        <v>5</v>
      </c>
    </row>
    <row r="8" ht="25.350000000000001" customHeight="1">
      <c r="A8" s="34" t="s">
        <v>515</v>
      </c>
      <c r="B8" s="75">
        <f>Sum(L4,L4,L4,L4,L4,L4,L4,L4,L4,L4,L4,L4,L4,L4,L4,L4,L4,L4,L4,L4,L4,L4,L4,L4,L4,L4)</f>
        <v>4</v>
      </c>
    </row>
    <row r="9" ht="25.350000000000001" customHeight="1">
      <c r="A9" s="34" t="s">
        <v>516</v>
      </c>
      <c r="B9" s="75">
        <f>Sum(L10,L10,L10,L10,L10,L10,L10,L10,L10,L10,L10,L10,L10,L10,L10,L10,L10,L10,L10,L10,L10,L10,L10,L10,L10,L10)</f>
        <v>3</v>
      </c>
    </row>
    <row r="10" ht="25.350000000000001" customHeight="1">
      <c r="A10" s="34" t="s">
        <v>517</v>
      </c>
      <c r="B10" s="75">
        <f>Sum(L3,L3,L3,L3,L3,L3,L3,L3,L3,L3,L3,L3,L3,L3,L3,L3,L3,L3,L3,L3,L3,L3,L3,L3,L3,L3)</f>
        <v>3</v>
      </c>
    </row>
    <row r="11" ht="25.350000000000001" customHeight="1">
      <c r="A11" s="34" t="s">
        <v>518</v>
      </c>
      <c r="B11" s="75">
        <f>Sum(L16,L16,L16,L16,L16,L16,L16,L16,L16,L16,L16,L16,L16,L16,L16,L16,L16,L16,L16,L16,L16,L16,L16,L16,L16,L16)</f>
        <v>2</v>
      </c>
    </row>
    <row r="12" ht="25.350000000000001" customHeight="1">
      <c r="A12" s="34" t="s">
        <v>519</v>
      </c>
      <c r="B12" s="75">
        <f>Sum(L14,L14,L14,L14,L14,L14,L14,L14,L14,L14,L14,L14,L14,L14,L14,L14,L14,L14,L14,L14,L14,L14,L14,L14,L14,L14)</f>
        <v>2</v>
      </c>
    </row>
    <row r="13" ht="25.350000000000001" customHeight="1">
      <c r="A13" s="34" t="s">
        <v>520</v>
      </c>
      <c r="B13" s="75">
        <f>Sum(L7,L7,L7,L7,L7,L7,L7,L7,L7,L7,L7,L7,L7,L7,L7,L7,L7,L7,L7,L7,L7,L7,L7,L7,L7,L7)</f>
        <v>1</v>
      </c>
    </row>
    <row r="14" ht="25.600000000000001" customHeight="1">
      <c r="A14" s="34" t="s">
        <v>521</v>
      </c>
      <c r="B14" s="75">
        <f>Sum(L2,L2,L2,L2,L2,L2,L2,L2,L2,L2,L2,L2,L2,L2,L2,L2,L2,L2,L2,L2,L2,L2,L2,L2,L2,L2)</f>
        <v>0</v>
      </c>
    </row>
    <row r="15" ht="25.350000000000001" customHeight="1">
      <c r="A15" s="34" t="s">
        <v>522</v>
      </c>
      <c r="B15" s="75">
        <f>Sum(L5,L5,L5,L5,L5,L5,L5,L5,L5,L5,L5,L5,L5,L5,L5,L5,L5,L5,L5,L5,L5,L5,L5,L5,L5,L5)</f>
        <v>0</v>
      </c>
    </row>
    <row r="16" ht="25.350000000000001" customHeight="1">
      <c r="A16" s="34" t="s">
        <v>523</v>
      </c>
      <c r="B16" s="75">
        <f>Sum(L11,L11,L11,L11,L11,L11,L11,L11,L11,L11,L11,L11,L11,L11,L11,L11,L11,L11,L11,L11,L11,L11,L11,L11,L11,L11)</f>
        <v>0</v>
      </c>
    </row>
    <row r="17" ht="25.350000000000001" customHeight="1">
      <c r="A17" s="34" t="s">
        <v>524</v>
      </c>
      <c r="B17" s="75">
        <f>Sum(L12,L12,L12,L12,L12,L12,L12,L12,L12,L12,L12,L12,L12,L12,L12,L12,L12,L12,L12,L12,L12,L12,L12,L12,L12,L12)</f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13.533799999999999"/>
    <col customWidth="1" min="2" max="2" width="13.533799999999999"/>
    <col customWidth="1" min="3" max="1024" width="13.533799999999999"/>
  </cols>
  <sheetData>
    <row r="1" ht="25.600000000000001" customHeight="1">
      <c r="A1" s="74" t="s">
        <v>525</v>
      </c>
      <c r="B1" s="76" t="s">
        <v>526</v>
      </c>
    </row>
    <row r="2" ht="25.350000000000001" customHeight="1">
      <c r="A2" s="34" t="s">
        <v>527</v>
      </c>
      <c r="B2" s="75">
        <f>L17</f>
        <v>10</v>
      </c>
    </row>
    <row r="3" ht="25.350000000000001" customHeight="1">
      <c r="A3" s="34" t="s">
        <v>528</v>
      </c>
      <c r="B3" s="75">
        <f>L6</f>
        <v>6</v>
      </c>
    </row>
    <row r="4" ht="25.350000000000001" customHeight="1">
      <c r="A4" s="34" t="s">
        <v>529</v>
      </c>
      <c r="B4" s="75">
        <f>L13</f>
        <v>6</v>
      </c>
    </row>
    <row r="5" ht="25.350000000000001" customHeight="1">
      <c r="A5" s="34" t="s">
        <v>530</v>
      </c>
      <c r="B5" s="75">
        <f>L8</f>
        <v>2</v>
      </c>
    </row>
    <row r="6" ht="25.350000000000001" customHeight="1">
      <c r="A6" s="34" t="s">
        <v>531</v>
      </c>
      <c r="B6" s="75">
        <f>L10</f>
        <v>2</v>
      </c>
    </row>
    <row r="7" ht="25.350000000000001" customHeight="1">
      <c r="A7" s="34" t="s">
        <v>532</v>
      </c>
      <c r="B7" s="75">
        <f>L3</f>
        <v>1</v>
      </c>
    </row>
    <row r="8" ht="25.350000000000001" customHeight="1">
      <c r="A8" s="34" t="s">
        <v>533</v>
      </c>
      <c r="B8" s="75">
        <f>L16</f>
        <v>1</v>
      </c>
    </row>
    <row r="9" ht="25.350000000000001" customHeight="1">
      <c r="A9" s="34" t="s">
        <v>534</v>
      </c>
      <c r="B9" s="75">
        <f>L11</f>
        <v>1</v>
      </c>
    </row>
    <row r="10" ht="25.350000000000001" customHeight="1">
      <c r="A10" s="34" t="s">
        <v>535</v>
      </c>
      <c r="B10" s="75">
        <f>L9</f>
        <v>1</v>
      </c>
    </row>
    <row r="11" ht="25.350000000000001" customHeight="1">
      <c r="A11" s="34" t="s">
        <v>536</v>
      </c>
      <c r="B11" s="75">
        <f>L5</f>
        <v>1</v>
      </c>
    </row>
    <row r="12" ht="25.350000000000001" customHeight="1">
      <c r="A12" s="34" t="s">
        <v>537</v>
      </c>
      <c r="B12" s="75">
        <f>L4</f>
        <v>1</v>
      </c>
    </row>
    <row r="13" ht="25.600000000000001" customHeight="1">
      <c r="A13" s="34" t="s">
        <v>538</v>
      </c>
      <c r="B13" s="75">
        <f>L2</f>
        <v>0</v>
      </c>
    </row>
    <row r="14" ht="25.350000000000001" customHeight="1">
      <c r="A14" s="34" t="s">
        <v>539</v>
      </c>
      <c r="B14" s="75">
        <f>L7</f>
        <v>0</v>
      </c>
    </row>
    <row r="15" ht="25.350000000000001" customHeight="1">
      <c r="A15" s="34" t="s">
        <v>540</v>
      </c>
      <c r="B15" s="75">
        <f>L12</f>
        <v>0</v>
      </c>
    </row>
    <row r="16" ht="25.350000000000001" customHeight="1">
      <c r="A16" s="34" t="s">
        <v>541</v>
      </c>
      <c r="B16" s="75">
        <f>L14</f>
        <v>0</v>
      </c>
    </row>
    <row r="17" ht="25.350000000000001" customHeight="1">
      <c r="A17" s="34" t="s">
        <v>542</v>
      </c>
      <c r="B17" s="75">
        <f>L15</f>
        <v>1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13.533799999999999"/>
    <col customWidth="1" min="2" max="2" width="13.533799999999999"/>
    <col customWidth="1" min="3" max="3" width="13.533799999999999"/>
    <col customWidth="1" min="4" max="1024" width="13.533799999999999"/>
  </cols>
  <sheetData>
    <row r="1" ht="25.600000000000001" customHeight="1">
      <c r="A1" s="74" t="s">
        <v>543</v>
      </c>
      <c r="B1" s="77" t="s">
        <v>544</v>
      </c>
      <c r="C1" s="4" t="s">
        <v>545</v>
      </c>
    </row>
    <row r="2" ht="25.350000000000001" customHeight="1">
      <c r="A2" s="34" t="s">
        <v>546</v>
      </c>
      <c r="B2" s="75">
        <v>1</v>
      </c>
      <c r="C2" s="75">
        <v>0</v>
      </c>
    </row>
    <row r="3" ht="25.350000000000001" customHeight="1">
      <c r="A3" s="34" t="s">
        <v>547</v>
      </c>
      <c r="B3" s="75">
        <v>1</v>
      </c>
      <c r="C3" s="75">
        <v>0</v>
      </c>
    </row>
    <row r="4" ht="25.350000000000001" customHeight="1">
      <c r="A4" s="34" t="s">
        <v>548</v>
      </c>
      <c r="B4" s="75">
        <v>1</v>
      </c>
      <c r="C4" s="75">
        <v>0</v>
      </c>
    </row>
    <row r="5" ht="25.350000000000001" customHeight="1">
      <c r="A5" s="34" t="s">
        <v>549</v>
      </c>
      <c r="B5" s="75">
        <v>0</v>
      </c>
      <c r="C5" s="75">
        <v>0</v>
      </c>
    </row>
    <row r="6" ht="25.350000000000001" customHeight="1">
      <c r="A6" s="34" t="s">
        <v>550</v>
      </c>
      <c r="B6" s="75">
        <v>0</v>
      </c>
      <c r="C6" s="75">
        <v>0</v>
      </c>
    </row>
    <row r="7" ht="25.350000000000001" customHeight="1">
      <c r="A7" s="34" t="s">
        <v>551</v>
      </c>
      <c r="B7" s="75">
        <v>0</v>
      </c>
      <c r="C7" s="75">
        <v>0</v>
      </c>
    </row>
    <row r="8" ht="25.350000000000001" customHeight="1">
      <c r="A8" s="34" t="s">
        <v>552</v>
      </c>
      <c r="B8" s="75">
        <v>0</v>
      </c>
      <c r="C8" s="75">
        <v>0</v>
      </c>
    </row>
    <row r="9" ht="25.600000000000001" customHeight="1">
      <c r="A9" s="34" t="s">
        <v>553</v>
      </c>
      <c r="B9" s="75">
        <v>0</v>
      </c>
      <c r="C9" s="75">
        <v>0</v>
      </c>
    </row>
    <row r="10" ht="25.350000000000001" customHeight="1">
      <c r="A10" s="34" t="s">
        <v>554</v>
      </c>
      <c r="B10" s="75">
        <v>0</v>
      </c>
      <c r="C10" s="75">
        <v>0</v>
      </c>
    </row>
    <row r="11" ht="25.350000000000001" customHeight="1">
      <c r="A11" s="34" t="s">
        <v>555</v>
      </c>
      <c r="B11" s="75">
        <v>0</v>
      </c>
      <c r="C11" s="75">
        <v>0</v>
      </c>
    </row>
    <row r="12" ht="25.350000000000001" customHeight="1">
      <c r="A12" s="34" t="s">
        <v>556</v>
      </c>
      <c r="B12" s="75">
        <v>0</v>
      </c>
      <c r="C12" s="75">
        <v>0</v>
      </c>
    </row>
    <row r="13" ht="25.350000000000001" customHeight="1">
      <c r="A13" s="34" t="s">
        <v>557</v>
      </c>
      <c r="B13" s="75">
        <v>0</v>
      </c>
      <c r="C13" s="75">
        <v>0</v>
      </c>
    </row>
    <row r="14" ht="25.350000000000001" customHeight="1">
      <c r="A14" s="34" t="s">
        <v>558</v>
      </c>
      <c r="B14" s="75">
        <v>0</v>
      </c>
      <c r="C14" s="75">
        <v>0</v>
      </c>
    </row>
    <row r="15" ht="25.350000000000001" customHeight="1">
      <c r="A15" s="34" t="s">
        <v>559</v>
      </c>
      <c r="B15" s="75">
        <v>0</v>
      </c>
      <c r="C15" s="75">
        <v>0</v>
      </c>
    </row>
    <row r="16" ht="25.350000000000001" customHeight="1">
      <c r="A16" s="34" t="s">
        <v>560</v>
      </c>
      <c r="B16" s="75">
        <v>0</v>
      </c>
      <c r="C16" s="75">
        <v>0</v>
      </c>
    </row>
    <row r="17" ht="25.350000000000001" customHeight="1">
      <c r="A17" s="34" t="s">
        <v>561</v>
      </c>
      <c r="B17" s="75">
        <v>0</v>
      </c>
      <c r="C17" s="75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12.8576"/>
    <col customWidth="1" min="2" max="2" width="14.562799999999999"/>
    <col customWidth="1" min="3" max="3" width="16.052399999999999"/>
    <col customWidth="1" min="4" max="1024" width="16.052399999999999"/>
  </cols>
  <sheetData>
    <row r="1" ht="21.300000000000001" customHeight="1">
      <c r="A1" s="1" t="s">
        <v>562</v>
      </c>
      <c r="B1" s="2" t="s">
        <v>563</v>
      </c>
      <c r="C1" s="4" t="s">
        <v>564</v>
      </c>
    </row>
    <row r="2" ht="26.050000000000001" customHeight="1">
      <c r="A2" s="78">
        <v>5</v>
      </c>
      <c r="B2" s="34" t="s">
        <v>565</v>
      </c>
      <c r="C2" s="79">
        <f>F6</f>
        <v>22</v>
      </c>
    </row>
    <row r="3" ht="25.800000000000001" customHeight="1">
      <c r="A3" s="78">
        <v>98</v>
      </c>
      <c r="B3" s="34" t="s">
        <v>566</v>
      </c>
      <c r="C3" s="79">
        <f>F12</f>
        <v>21</v>
      </c>
    </row>
    <row r="4" ht="25.800000000000001" customHeight="1">
      <c r="A4" s="78">
        <v>22</v>
      </c>
      <c r="B4" s="34" t="s">
        <v>567</v>
      </c>
      <c r="C4" s="79">
        <f>F17</f>
        <v>21</v>
      </c>
    </row>
    <row r="5" ht="25.800000000000001" customHeight="1">
      <c r="A5" s="78">
        <v>12</v>
      </c>
      <c r="B5" s="34" t="s">
        <v>568</v>
      </c>
      <c r="C5" s="79">
        <f>F13</f>
        <v>20</v>
      </c>
    </row>
    <row r="6" ht="25.800000000000001" customHeight="1">
      <c r="A6" s="78">
        <v>8</v>
      </c>
      <c r="B6" s="34" t="s">
        <v>569</v>
      </c>
      <c r="C6" s="79">
        <f>F9</f>
        <v>20</v>
      </c>
    </row>
    <row r="7" ht="25.800000000000001" customHeight="1">
      <c r="A7" s="78">
        <v>6</v>
      </c>
      <c r="B7" s="34" t="s">
        <v>570</v>
      </c>
      <c r="C7" s="79">
        <f>F7</f>
        <v>20</v>
      </c>
    </row>
    <row r="8" ht="25.800000000000001" customHeight="1">
      <c r="A8" s="78">
        <v>7</v>
      </c>
      <c r="B8" s="34" t="s">
        <v>571</v>
      </c>
      <c r="C8" s="79">
        <f>F8</f>
        <v>20</v>
      </c>
    </row>
    <row r="9" ht="25.800000000000001" customHeight="1">
      <c r="A9" s="78">
        <v>20</v>
      </c>
      <c r="B9" s="34" t="s">
        <v>572</v>
      </c>
      <c r="C9" s="79">
        <f>F16</f>
        <v>20</v>
      </c>
    </row>
    <row r="10" ht="25.800000000000001" customHeight="1">
      <c r="A10" s="78">
        <v>9</v>
      </c>
      <c r="B10" s="34" t="s">
        <v>573</v>
      </c>
      <c r="C10" s="79">
        <f>F10</f>
        <v>20</v>
      </c>
    </row>
    <row r="11" ht="25.800000000000001" customHeight="1">
      <c r="A11" s="78">
        <v>4</v>
      </c>
      <c r="B11" s="34" t="s">
        <v>574</v>
      </c>
      <c r="C11" s="79">
        <f>F5</f>
        <v>19</v>
      </c>
    </row>
    <row r="12" ht="25.800000000000001" customHeight="1">
      <c r="A12" s="78">
        <v>3</v>
      </c>
      <c r="B12" s="34" t="s">
        <v>575</v>
      </c>
      <c r="C12" s="79">
        <f>F4</f>
        <v>19</v>
      </c>
    </row>
    <row r="13" ht="25.800000000000001" customHeight="1">
      <c r="A13" s="78">
        <v>1</v>
      </c>
      <c r="B13" s="34" t="s">
        <v>576</v>
      </c>
      <c r="C13" s="79">
        <f>F2</f>
        <v>19</v>
      </c>
    </row>
    <row r="14" ht="25.800000000000001" customHeight="1">
      <c r="A14" s="78">
        <v>16</v>
      </c>
      <c r="B14" s="34" t="s">
        <v>577</v>
      </c>
      <c r="C14" s="79">
        <f>F15</f>
        <v>18</v>
      </c>
    </row>
    <row r="15" ht="25.800000000000001" customHeight="1">
      <c r="A15" s="78">
        <v>2</v>
      </c>
      <c r="B15" s="34" t="s">
        <v>578</v>
      </c>
      <c r="C15" s="79">
        <f>F3</f>
        <v>17</v>
      </c>
    </row>
    <row r="16" ht="25.800000000000001" customHeight="1">
      <c r="A16" s="78">
        <v>15</v>
      </c>
      <c r="B16" s="34" t="s">
        <v>579</v>
      </c>
      <c r="C16" s="79">
        <f>F14</f>
        <v>17</v>
      </c>
    </row>
    <row r="17" ht="25.800000000000001" customHeight="1">
      <c r="A17" s="78">
        <v>10</v>
      </c>
      <c r="B17" s="34" t="s">
        <v>580</v>
      </c>
      <c r="C17" s="79">
        <f>F11</f>
        <v>6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9379999999999997"/>
    <col customWidth="1" min="2" max="2" width="10.436999999999999"/>
    <col customWidth="1" min="3" max="3" width="9.1237999999999992"/>
    <col customWidth="0" min="4" max="4" width="11.52"/>
    <col customWidth="0" min="5" max="5" width="11.52"/>
    <col customWidth="0" min="6" max="6" width="11.52"/>
    <col customWidth="0" min="7" max="7" width="11.52"/>
    <col customWidth="1" min="8" max="1024" width="11.52"/>
  </cols>
  <sheetData>
    <row r="1">
      <c r="A1" s="80" t="s">
        <v>581</v>
      </c>
      <c r="B1" s="80" t="s">
        <v>582</v>
      </c>
      <c r="C1" s="80" t="s">
        <v>583</v>
      </c>
      <c r="D1" s="80" t="s">
        <v>584</v>
      </c>
      <c r="E1" s="80" t="s">
        <v>585</v>
      </c>
      <c r="F1" s="80" t="s">
        <v>586</v>
      </c>
      <c r="G1" s="80" t="s">
        <v>587</v>
      </c>
    </row>
    <row r="2">
      <c r="A2" s="81">
        <v>1</v>
      </c>
      <c r="B2" s="82" t="s">
        <v>588</v>
      </c>
      <c r="C2" s="82" t="s">
        <v>589</v>
      </c>
      <c r="D2" s="48" t="s">
        <v>590</v>
      </c>
      <c r="E2" s="48" t="s">
        <v>591</v>
      </c>
      <c r="F2" s="48" t="s">
        <v>592</v>
      </c>
      <c r="G2" s="48"/>
    </row>
    <row r="3">
      <c r="A3" s="81">
        <v>2</v>
      </c>
      <c r="B3" s="82" t="s">
        <v>593</v>
      </c>
      <c r="C3" s="82" t="s">
        <v>594</v>
      </c>
      <c r="D3" s="48" t="s">
        <v>595</v>
      </c>
      <c r="E3" s="48" t="s">
        <v>596</v>
      </c>
      <c r="F3" s="48"/>
      <c r="G3" s="48"/>
    </row>
    <row r="4">
      <c r="A4" s="81">
        <v>3</v>
      </c>
      <c r="B4" s="82" t="s">
        <v>597</v>
      </c>
      <c r="C4" s="82" t="s">
        <v>598</v>
      </c>
      <c r="D4" s="48" t="s">
        <v>599</v>
      </c>
      <c r="E4" s="48" t="s">
        <v>600</v>
      </c>
      <c r="F4" s="48"/>
      <c r="G4" s="48"/>
    </row>
    <row r="5">
      <c r="A5" s="81">
        <v>4</v>
      </c>
      <c r="B5" s="82" t="s">
        <v>601</v>
      </c>
      <c r="C5" s="82" t="s">
        <v>602</v>
      </c>
      <c r="D5" s="48" t="s">
        <v>603</v>
      </c>
      <c r="E5" s="48" t="s">
        <v>604</v>
      </c>
      <c r="F5" s="48"/>
      <c r="G5" s="48"/>
    </row>
    <row r="6">
      <c r="A6" s="81">
        <v>5</v>
      </c>
      <c r="B6" s="82" t="s">
        <v>605</v>
      </c>
      <c r="C6" s="82" t="s">
        <v>606</v>
      </c>
      <c r="D6" s="48" t="s">
        <v>607</v>
      </c>
      <c r="E6" s="48" t="s">
        <v>608</v>
      </c>
      <c r="F6" s="48" t="s">
        <v>609</v>
      </c>
      <c r="G6" s="48"/>
    </row>
    <row r="7">
      <c r="A7" s="81">
        <v>6</v>
      </c>
      <c r="B7" s="82" t="s">
        <v>610</v>
      </c>
      <c r="C7" s="82" t="s">
        <v>611</v>
      </c>
      <c r="D7" s="48" t="s">
        <v>612</v>
      </c>
      <c r="E7" s="48" t="s">
        <v>613</v>
      </c>
      <c r="F7" s="48"/>
      <c r="G7" s="48"/>
    </row>
    <row r="8">
      <c r="A8" s="81">
        <v>7</v>
      </c>
      <c r="B8" s="82" t="s">
        <v>614</v>
      </c>
      <c r="C8" s="82" t="s">
        <v>615</v>
      </c>
      <c r="D8" s="48" t="s">
        <v>616</v>
      </c>
      <c r="E8" s="48" t="s">
        <v>617</v>
      </c>
      <c r="F8" s="48" t="s">
        <v>618</v>
      </c>
      <c r="G8" s="48"/>
    </row>
    <row r="9">
      <c r="A9" s="81">
        <v>8</v>
      </c>
      <c r="B9" s="82" t="s">
        <v>619</v>
      </c>
      <c r="C9" s="82" t="s">
        <v>620</v>
      </c>
      <c r="D9" s="48" t="s">
        <v>621</v>
      </c>
      <c r="E9" s="48" t="s">
        <v>622</v>
      </c>
      <c r="F9" s="48"/>
      <c r="G9" s="48"/>
    </row>
    <row r="10">
      <c r="A10" s="81">
        <v>9</v>
      </c>
      <c r="B10" s="82" t="s">
        <v>623</v>
      </c>
      <c r="C10" s="82" t="s">
        <v>624</v>
      </c>
      <c r="D10" s="48" t="s">
        <v>625</v>
      </c>
      <c r="E10" s="48" t="s">
        <v>626</v>
      </c>
      <c r="F10" s="48"/>
      <c r="G10" s="48"/>
    </row>
    <row r="11">
      <c r="A11" s="81">
        <v>10</v>
      </c>
      <c r="B11" s="82" t="s">
        <v>627</v>
      </c>
      <c r="C11" s="82" t="s">
        <v>628</v>
      </c>
      <c r="D11" s="48" t="s">
        <v>629</v>
      </c>
      <c r="E11" s="48" t="s">
        <v>630</v>
      </c>
      <c r="F11" s="48"/>
      <c r="G11" s="48"/>
    </row>
    <row r="12">
      <c r="A12" s="81">
        <v>11</v>
      </c>
      <c r="B12" s="82" t="s">
        <v>631</v>
      </c>
      <c r="C12" s="82" t="s">
        <v>632</v>
      </c>
      <c r="D12" s="48" t="s">
        <v>633</v>
      </c>
      <c r="E12" s="48" t="s">
        <v>634</v>
      </c>
      <c r="F12" s="48" t="s">
        <v>635</v>
      </c>
      <c r="G12" s="48" t="s">
        <v>636</v>
      </c>
    </row>
    <row r="13">
      <c r="A13" s="81">
        <v>12</v>
      </c>
      <c r="B13" s="82" t="s">
        <v>637</v>
      </c>
      <c r="C13" s="82" t="s">
        <v>638</v>
      </c>
      <c r="D13" s="48" t="s">
        <v>639</v>
      </c>
      <c r="E13" s="48" t="s">
        <v>640</v>
      </c>
      <c r="F13" s="48" t="s">
        <v>641</v>
      </c>
      <c r="G13" s="48"/>
    </row>
    <row r="14">
      <c r="A14" s="81">
        <v>13</v>
      </c>
      <c r="B14" s="82" t="s">
        <v>642</v>
      </c>
      <c r="C14" s="82" t="s">
        <v>643</v>
      </c>
      <c r="D14" s="48" t="s">
        <v>644</v>
      </c>
      <c r="E14" s="48" t="s">
        <v>645</v>
      </c>
      <c r="F14" s="48"/>
      <c r="G14" s="48"/>
    </row>
    <row r="15">
      <c r="A15" s="81">
        <v>14</v>
      </c>
      <c r="B15" s="82" t="s">
        <v>646</v>
      </c>
      <c r="C15" s="82" t="s">
        <v>647</v>
      </c>
      <c r="D15" s="48" t="s">
        <v>648</v>
      </c>
      <c r="E15" s="48" t="s">
        <v>649</v>
      </c>
      <c r="F15" s="48"/>
      <c r="G15" s="48"/>
    </row>
    <row r="16">
      <c r="A16" s="81">
        <v>15</v>
      </c>
      <c r="B16" s="82" t="s">
        <v>650</v>
      </c>
      <c r="C16" s="82" t="s">
        <v>651</v>
      </c>
      <c r="D16" s="48" t="s">
        <v>652</v>
      </c>
      <c r="E16" s="48" t="s">
        <v>653</v>
      </c>
      <c r="F16" s="48"/>
      <c r="G16" s="48"/>
    </row>
    <row r="17">
      <c r="A17" s="81">
        <v>16</v>
      </c>
      <c r="B17" s="82" t="s">
        <v>654</v>
      </c>
      <c r="C17" s="82" t="s">
        <v>655</v>
      </c>
      <c r="D17" s="48" t="s">
        <v>656</v>
      </c>
      <c r="E17" s="48" t="s">
        <v>657</v>
      </c>
      <c r="F17" s="48"/>
      <c r="G17" s="48"/>
    </row>
    <row r="18">
      <c r="A18" s="81">
        <v>17</v>
      </c>
      <c r="B18" s="82" t="s">
        <v>658</v>
      </c>
      <c r="C18" s="82" t="s">
        <v>659</v>
      </c>
      <c r="D18" s="48" t="s">
        <v>660</v>
      </c>
      <c r="E18" s="48" t="s">
        <v>661</v>
      </c>
      <c r="F18" s="48" t="s">
        <v>662</v>
      </c>
      <c r="G18" s="48"/>
    </row>
    <row r="19">
      <c r="A19" s="81">
        <v>18</v>
      </c>
      <c r="B19" s="82" t="s">
        <v>663</v>
      </c>
      <c r="C19" s="82" t="s">
        <v>664</v>
      </c>
      <c r="D19" s="48" t="s">
        <v>665</v>
      </c>
      <c r="E19" s="48" t="s">
        <v>666</v>
      </c>
      <c r="F19" s="48" t="s">
        <v>667</v>
      </c>
      <c r="G19" s="48"/>
    </row>
    <row r="20">
      <c r="A20" s="81">
        <v>19</v>
      </c>
      <c r="B20" s="82" t="s">
        <v>668</v>
      </c>
      <c r="C20" s="82" t="s">
        <v>669</v>
      </c>
      <c r="D20" s="48" t="s">
        <v>670</v>
      </c>
      <c r="E20" s="48" t="s">
        <v>671</v>
      </c>
      <c r="F20" s="48"/>
      <c r="G20" s="48"/>
    </row>
    <row r="21">
      <c r="A21" s="81">
        <v>20</v>
      </c>
      <c r="B21" s="82" t="s">
        <v>672</v>
      </c>
      <c r="C21" s="82" t="s">
        <v>673</v>
      </c>
      <c r="D21" s="48" t="s">
        <v>674</v>
      </c>
      <c r="E21" s="48" t="s">
        <v>675</v>
      </c>
      <c r="F21" s="48" t="s">
        <v>676</v>
      </c>
      <c r="G21" s="48"/>
    </row>
    <row r="22">
      <c r="A22" s="81">
        <v>21</v>
      </c>
      <c r="B22" s="82" t="s">
        <v>677</v>
      </c>
      <c r="C22" s="82" t="s">
        <v>678</v>
      </c>
      <c r="D22" s="48" t="s">
        <v>679</v>
      </c>
      <c r="E22" s="48"/>
      <c r="F22" s="48"/>
      <c r="G22" s="48"/>
    </row>
    <row r="23">
      <c r="A23" s="81">
        <v>22</v>
      </c>
      <c r="B23" s="82" t="s">
        <v>680</v>
      </c>
      <c r="C23" s="82" t="s">
        <v>681</v>
      </c>
      <c r="D23" s="48" t="s">
        <v>682</v>
      </c>
      <c r="E23" s="48" t="s">
        <v>683</v>
      </c>
      <c r="F23" s="48" t="s">
        <v>684</v>
      </c>
      <c r="G23" s="48" t="s">
        <v>685</v>
      </c>
    </row>
    <row r="24">
      <c r="A24" s="81">
        <v>23</v>
      </c>
      <c r="B24" s="82" t="s">
        <v>686</v>
      </c>
      <c r="C24" s="82" t="s">
        <v>687</v>
      </c>
      <c r="D24" s="48" t="s">
        <v>688</v>
      </c>
      <c r="E24" s="48"/>
      <c r="F24" s="48"/>
      <c r="G24" s="48"/>
    </row>
    <row r="25">
      <c r="A25" s="81">
        <v>24</v>
      </c>
      <c r="B25" s="82" t="s">
        <v>689</v>
      </c>
      <c r="C25" s="82" t="s">
        <v>690</v>
      </c>
      <c r="D25" s="48" t="s">
        <v>691</v>
      </c>
      <c r="E25" s="48"/>
      <c r="F25" s="48"/>
      <c r="G25" s="48"/>
    </row>
    <row r="26">
      <c r="A26" s="81">
        <v>25</v>
      </c>
      <c r="B26" s="82" t="s">
        <v>692</v>
      </c>
      <c r="C26" s="82" t="s">
        <v>693</v>
      </c>
      <c r="D26" s="48"/>
      <c r="E26" s="48"/>
      <c r="F26" s="48"/>
      <c r="G26" s="48"/>
    </row>
    <row r="27">
      <c r="A27" s="81">
        <v>26</v>
      </c>
      <c r="B27" s="82" t="s">
        <v>694</v>
      </c>
      <c r="C27" s="82" t="s">
        <v>695</v>
      </c>
      <c r="D27" s="48"/>
      <c r="E27" s="48"/>
      <c r="F27" s="48"/>
      <c r="G27" s="48"/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696</v>
      </c>
      <c r="B1" s="9" t="s">
        <v>697</v>
      </c>
      <c r="C1" s="9" t="s">
        <v>698</v>
      </c>
      <c r="D1" s="9" t="s">
        <v>699</v>
      </c>
      <c r="E1" s="9" t="s">
        <v>700</v>
      </c>
      <c r="F1" s="9" t="s">
        <v>701</v>
      </c>
      <c r="G1" s="9" t="s">
        <v>702</v>
      </c>
      <c r="H1" s="9" t="s">
        <v>703</v>
      </c>
      <c r="I1" s="9" t="s">
        <v>704</v>
      </c>
      <c r="J1" s="9" t="s">
        <v>705</v>
      </c>
      <c r="K1" s="9" t="s">
        <v>706</v>
      </c>
      <c r="L1" s="9" t="s">
        <v>707</v>
      </c>
      <c r="M1" s="9" t="s">
        <v>708</v>
      </c>
      <c r="N1" s="9" t="s">
        <v>709</v>
      </c>
      <c r="O1" s="9" t="s">
        <v>710</v>
      </c>
      <c r="P1" s="9" t="s">
        <v>711</v>
      </c>
      <c r="Q1" s="9" t="s">
        <v>712</v>
      </c>
      <c r="R1" s="9" t="s">
        <v>713</v>
      </c>
      <c r="S1" s="9" t="s">
        <v>714</v>
      </c>
    </row>
    <row r="2">
      <c r="A2" s="81">
        <v>1</v>
      </c>
      <c r="B2" s="48" t="s">
        <v>715</v>
      </c>
      <c r="C2" s="83">
        <f>Sum(G2,K2)</f>
        <v>3.4722222222222224e-02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48"/>
      <c r="P2" s="48"/>
      <c r="Q2" s="48"/>
      <c r="R2" s="48"/>
      <c r="S2" s="48"/>
    </row>
    <row r="3">
      <c r="A3" s="81">
        <v>2</v>
      </c>
      <c r="B3" s="48" t="s">
        <v>716</v>
      </c>
      <c r="C3" s="83">
        <f>Sum(G3,K3)</f>
        <v>1.8055555555555554e-02</v>
      </c>
      <c r="D3" s="38">
        <v>1</v>
      </c>
      <c r="E3" s="83">
        <v>0</v>
      </c>
      <c r="F3" s="83">
        <v>9.0277777777777769e-03</v>
      </c>
      <c r="G3" s="83">
        <f>(F3-E3)+(Q3-P3)</f>
        <v>9.0277777777777769e-03</v>
      </c>
      <c r="H3" s="38">
        <v>1</v>
      </c>
      <c r="I3" s="83">
        <v>0</v>
      </c>
      <c r="J3" s="83">
        <v>9.0277777777777769e-03</v>
      </c>
      <c r="K3" s="83">
        <f>(J3-I3)+(S3-R3)</f>
        <v>9.0277777777777769e-03</v>
      </c>
      <c r="L3" s="38">
        <v>1</v>
      </c>
      <c r="M3" s="48"/>
      <c r="N3" s="72"/>
      <c r="O3" s="48"/>
      <c r="P3" s="48"/>
      <c r="Q3" s="48"/>
      <c r="R3" s="48"/>
      <c r="S3" s="48"/>
    </row>
    <row r="4">
      <c r="A4" s="81">
        <v>3</v>
      </c>
      <c r="B4" s="48" t="s">
        <v>717</v>
      </c>
      <c r="C4" s="83">
        <f>Sum(G4,K4)</f>
        <v>1.8055555555555554e-02</v>
      </c>
      <c r="D4" s="38">
        <v>0</v>
      </c>
      <c r="E4" s="83">
        <v>1.0069444444444445e-02</v>
      </c>
      <c r="F4" s="83">
        <v>1.7361111111111112e-02</v>
      </c>
      <c r="G4" s="83">
        <f>(F4-E4)+(Q4-P4)</f>
        <v>7.2916666666666668e-03</v>
      </c>
      <c r="H4" s="38">
        <v>1</v>
      </c>
      <c r="I4" s="83">
        <v>0</v>
      </c>
      <c r="J4" s="83">
        <v>1.0763888888888889e-02</v>
      </c>
      <c r="K4" s="83">
        <f>(J4-I4)+(S4-R4)</f>
        <v>1.0763888888888889e-02</v>
      </c>
      <c r="L4" s="48"/>
      <c r="M4" s="48"/>
      <c r="N4" s="72"/>
      <c r="O4" s="48"/>
      <c r="P4" s="48"/>
      <c r="Q4" s="48"/>
      <c r="R4" s="48"/>
      <c r="S4" s="48"/>
    </row>
    <row r="5">
      <c r="A5" s="81">
        <v>4</v>
      </c>
      <c r="B5" s="48" t="s">
        <v>718</v>
      </c>
      <c r="C5" s="83">
        <f>Sum(G5,K5)</f>
        <v>2.326388888888889e-02</v>
      </c>
      <c r="D5" s="38">
        <v>1</v>
      </c>
      <c r="E5" s="83">
        <v>0</v>
      </c>
      <c r="F5" s="83">
        <v>1.0069444444444445e-02</v>
      </c>
      <c r="G5" s="83">
        <f>(F5-E5)+(Q5-P5)</f>
        <v>1.0069444444444445e-02</v>
      </c>
      <c r="H5" s="38">
        <v>1</v>
      </c>
      <c r="I5" s="83">
        <v>0</v>
      </c>
      <c r="J5" s="83">
        <v>1.3194444444444444e-02</v>
      </c>
      <c r="K5" s="83">
        <f>(J5-I5)+(S5-R5)</f>
        <v>1.3194444444444444e-02</v>
      </c>
      <c r="L5" s="48"/>
      <c r="M5" s="48"/>
      <c r="N5" s="72"/>
      <c r="O5" s="48"/>
      <c r="P5" s="48"/>
      <c r="Q5" s="48"/>
      <c r="R5" s="48"/>
      <c r="S5" s="48"/>
    </row>
    <row r="6">
      <c r="A6" s="81">
        <v>5</v>
      </c>
      <c r="B6" s="48" t="s">
        <v>719</v>
      </c>
      <c r="C6" s="83">
        <f>Sum(G6,K6)</f>
        <v>2.0833333333333332e-02</v>
      </c>
      <c r="D6" s="38">
        <v>0</v>
      </c>
      <c r="E6" s="83">
        <v>1.3888888888888888e-02</v>
      </c>
      <c r="F6" s="83">
        <v>1.7361111111111112e-02</v>
      </c>
      <c r="G6" s="83">
        <f>(F6-E6)+(Q6-P6)</f>
        <v>3.472222222222222e-03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1</v>
      </c>
      <c r="M6" s="48"/>
      <c r="N6" s="72"/>
      <c r="O6" s="48"/>
      <c r="P6" s="48"/>
      <c r="Q6" s="48"/>
      <c r="R6" s="48"/>
      <c r="S6" s="48"/>
    </row>
    <row r="7">
      <c r="A7" s="81">
        <v>6</v>
      </c>
      <c r="B7" s="48" t="s">
        <v>720</v>
      </c>
      <c r="C7" s="83">
        <f>Sum(G7,K7)</f>
        <v>1.8055555555555554e-02</v>
      </c>
      <c r="D7" s="38">
        <v>1</v>
      </c>
      <c r="E7" s="83">
        <v>0</v>
      </c>
      <c r="F7" s="83">
        <v>1.1458333333333333e-02</v>
      </c>
      <c r="G7" s="83">
        <f>(F7-E7)+(Q7-P7)</f>
        <v>1.1458333333333333e-02</v>
      </c>
      <c r="H7" s="38">
        <v>0</v>
      </c>
      <c r="I7" s="83">
        <v>1.0763888888888889e-02</v>
      </c>
      <c r="J7" s="83">
        <v>1.7361111111111112e-02</v>
      </c>
      <c r="K7" s="83">
        <f>(J7-I7)+(S7-R7)</f>
        <v>6.5972222222222222e-03</v>
      </c>
      <c r="L7" s="48"/>
      <c r="M7" s="48"/>
      <c r="N7" s="72"/>
      <c r="O7" s="48"/>
      <c r="P7" s="48"/>
      <c r="Q7" s="48"/>
      <c r="R7" s="48"/>
      <c r="S7" s="48"/>
    </row>
    <row r="8">
      <c r="A8" s="81">
        <v>7</v>
      </c>
      <c r="B8" s="48" t="s">
        <v>721</v>
      </c>
      <c r="C8" s="83">
        <f>Sum(G8,K8)</f>
        <v>2.2222222222222223e-02</v>
      </c>
      <c r="D8" s="38">
        <v>1</v>
      </c>
      <c r="E8" s="83">
        <v>0</v>
      </c>
      <c r="F8" s="83">
        <v>9.0277777777777769e-03</v>
      </c>
      <c r="G8" s="83">
        <f>(F8-E8)+(Q8-P8)</f>
        <v>9.0277777777777769e-03</v>
      </c>
      <c r="H8" s="38">
        <v>1</v>
      </c>
      <c r="I8" s="83">
        <v>0</v>
      </c>
      <c r="J8" s="83">
        <v>1.3194444444444444e-02</v>
      </c>
      <c r="K8" s="83">
        <f>(J8-I8)+(S8-R8)</f>
        <v>1.3194444444444444e-02</v>
      </c>
      <c r="L8" s="38">
        <v>1</v>
      </c>
      <c r="M8" s="48"/>
      <c r="N8" s="72"/>
      <c r="O8" s="48"/>
      <c r="P8" s="48"/>
      <c r="Q8" s="48"/>
      <c r="R8" s="48"/>
      <c r="S8" s="48"/>
    </row>
    <row r="9">
      <c r="A9" s="81">
        <v>8</v>
      </c>
      <c r="B9" s="48" t="s">
        <v>722</v>
      </c>
      <c r="C9" s="83">
        <f>Sum(G9,K9)</f>
        <v>1.8055555555555554e-02</v>
      </c>
      <c r="D9" s="38">
        <v>0</v>
      </c>
      <c r="E9" s="83">
        <v>9.0277777777777769e-03</v>
      </c>
      <c r="F9" s="83">
        <v>1.7361111111111112e-02</v>
      </c>
      <c r="G9" s="83">
        <f>(F9-E9)+(Q9-P9)</f>
        <v>8.3333333333333332e-03</v>
      </c>
      <c r="H9" s="38">
        <v>1</v>
      </c>
      <c r="I9" s="83">
        <v>0</v>
      </c>
      <c r="J9" s="83">
        <v>5.5555555555555558e-03</v>
      </c>
      <c r="K9" s="83">
        <f>(J9-I9)+(S9-R9)</f>
        <v>9.7222222222222224e-03</v>
      </c>
      <c r="L9" s="38">
        <v>2</v>
      </c>
      <c r="M9" s="48"/>
      <c r="N9" s="72"/>
      <c r="O9" s="48"/>
      <c r="P9" s="48"/>
      <c r="Q9" s="48"/>
      <c r="R9" s="83">
        <v>1.3194444444444444e-02</v>
      </c>
      <c r="S9" s="83">
        <v>1.7361111111111112e-02</v>
      </c>
    </row>
    <row r="10">
      <c r="A10" s="81">
        <v>9</v>
      </c>
      <c r="B10" s="48" t="s">
        <v>723</v>
      </c>
      <c r="C10" s="83">
        <f>Sum(G10,K10)</f>
        <v>1.7708333333333333e-02</v>
      </c>
      <c r="D10" s="38">
        <v>1</v>
      </c>
      <c r="E10" s="83">
        <v>0</v>
      </c>
      <c r="F10" s="83">
        <v>1.0069444444444445e-02</v>
      </c>
      <c r="G10" s="83">
        <f>(F10-E10)+(Q10-P10)</f>
        <v>1.0069444444444445e-02</v>
      </c>
      <c r="H10" s="38">
        <v>0</v>
      </c>
      <c r="I10" s="83">
        <v>9.7222222222222224e-03</v>
      </c>
      <c r="J10" s="83">
        <v>1.7361111111111112e-02</v>
      </c>
      <c r="K10" s="83">
        <f>(J10-I10)+(S10-R10)</f>
        <v>7.6388888888888886e-03</v>
      </c>
      <c r="L10" s="48"/>
      <c r="M10" s="48"/>
      <c r="N10" s="72"/>
      <c r="O10" s="48"/>
      <c r="P10" s="48"/>
      <c r="Q10" s="48"/>
      <c r="R10" s="48"/>
      <c r="S10" s="48"/>
    </row>
    <row r="11">
      <c r="A11" s="84">
        <v>10</v>
      </c>
      <c r="B11" s="85" t="s">
        <v>724</v>
      </c>
      <c r="C11" s="86">
        <f>Sum(G11,K11)</f>
        <v>0</v>
      </c>
      <c r="D11" s="85"/>
      <c r="E11" s="86">
        <v>0</v>
      </c>
      <c r="F11" s="86">
        <v>0</v>
      </c>
      <c r="G11" s="86">
        <f>(F11-E11)+(Q11-P11)</f>
        <v>0</v>
      </c>
      <c r="H11" s="85"/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85"/>
      <c r="P11" s="85"/>
      <c r="Q11" s="85"/>
      <c r="R11" s="85"/>
      <c r="S11" s="85"/>
    </row>
    <row r="12">
      <c r="A12" s="84">
        <v>11</v>
      </c>
      <c r="B12" s="85" t="s">
        <v>725</v>
      </c>
      <c r="C12" s="86">
        <f>Sum(G12,K12)</f>
        <v>0</v>
      </c>
      <c r="D12" s="85"/>
      <c r="E12" s="86">
        <v>0</v>
      </c>
      <c r="F12" s="86">
        <v>0</v>
      </c>
      <c r="G12" s="86">
        <f>(F12-E12)+(Q12-P12)</f>
        <v>0</v>
      </c>
      <c r="H12" s="85"/>
      <c r="I12" s="86">
        <v>0</v>
      </c>
      <c r="J12" s="86">
        <v>0</v>
      </c>
      <c r="K12" s="86">
        <f>(J12-I12)+(S12-R12)</f>
        <v>0</v>
      </c>
      <c r="L12" s="85"/>
      <c r="M12" s="85"/>
      <c r="N12" s="72"/>
      <c r="O12" s="85"/>
      <c r="P12" s="85"/>
      <c r="Q12" s="85"/>
      <c r="R12" s="85"/>
      <c r="S12" s="85"/>
    </row>
    <row r="13">
      <c r="A13" s="81">
        <v>12</v>
      </c>
      <c r="B13" s="48" t="s">
        <v>726</v>
      </c>
      <c r="C13" s="83">
        <f>Sum(G13,K13)</f>
        <v>2.1180555555555557e-02</v>
      </c>
      <c r="D13" s="38">
        <v>1</v>
      </c>
      <c r="E13" s="83">
        <v>0</v>
      </c>
      <c r="F13" s="83">
        <v>1.3888888888888888e-02</v>
      </c>
      <c r="G13" s="83">
        <f>(F13-E13)+(Q13-P13)</f>
        <v>1.3888888888888888e-02</v>
      </c>
      <c r="H13" s="38">
        <v>0</v>
      </c>
      <c r="I13" s="83">
        <v>1.0069444444444445e-02</v>
      </c>
      <c r="J13" s="83">
        <v>1.7361111111111112e-02</v>
      </c>
      <c r="K13" s="83">
        <f>(J13-I13)+(S13-R13)</f>
        <v>7.2916666666666668e-03</v>
      </c>
      <c r="L13" s="48"/>
      <c r="M13" s="48"/>
      <c r="N13" s="72"/>
      <c r="O13" s="48"/>
      <c r="P13" s="48"/>
      <c r="Q13" s="48"/>
      <c r="R13" s="48"/>
      <c r="S13" s="48"/>
    </row>
    <row r="14">
      <c r="A14" s="81">
        <v>15</v>
      </c>
      <c r="B14" s="48" t="s">
        <v>727</v>
      </c>
      <c r="C14" s="83">
        <f>Sum(G14,K14)</f>
        <v>1.7013888888888887e-02</v>
      </c>
      <c r="D14" s="38">
        <v>0</v>
      </c>
      <c r="E14" s="83">
        <v>1.0069444444444445e-02</v>
      </c>
      <c r="F14" s="83">
        <v>1.7361111111111112e-02</v>
      </c>
      <c r="G14" s="83">
        <f>(F14-E14)+(Q14-P14)</f>
        <v>7.2916666666666668e-03</v>
      </c>
      <c r="H14" s="38">
        <v>1</v>
      </c>
      <c r="I14" s="83">
        <v>0</v>
      </c>
      <c r="J14" s="83">
        <v>9.7222222222222224e-03</v>
      </c>
      <c r="K14" s="83">
        <f>(J14-I14)+(S14-R14)</f>
        <v>9.7222222222222224e-03</v>
      </c>
      <c r="L14" s="48"/>
      <c r="M14" s="48"/>
      <c r="N14" s="72"/>
      <c r="O14" s="48"/>
      <c r="P14" s="48"/>
      <c r="Q14" s="48"/>
      <c r="R14" s="48"/>
      <c r="S14" s="48"/>
    </row>
    <row r="15">
      <c r="A15" s="81">
        <v>16</v>
      </c>
      <c r="B15" s="48" t="s">
        <v>728</v>
      </c>
      <c r="C15" s="83">
        <f>Sum(G15,K15)</f>
        <v>1.6666666666666666e-02</v>
      </c>
      <c r="D15" s="38">
        <v>0</v>
      </c>
      <c r="E15" s="83">
        <v>9.0277777777777769e-03</v>
      </c>
      <c r="F15" s="83">
        <v>1.7361111111111112e-02</v>
      </c>
      <c r="G15" s="83">
        <f>(F15-E15)+(Q15-P15)</f>
        <v>8.3333333333333332e-03</v>
      </c>
      <c r="H15" s="38">
        <v>0</v>
      </c>
      <c r="I15" s="83">
        <v>9.0277777777777769e-03</v>
      </c>
      <c r="J15" s="83">
        <v>1.7361111111111112e-02</v>
      </c>
      <c r="K15" s="83">
        <f>(J15-I15)+(S15-R15)</f>
        <v>8.3333333333333332e-03</v>
      </c>
      <c r="L15" s="48"/>
      <c r="M15" s="38">
        <v>1</v>
      </c>
      <c r="N15" s="72"/>
      <c r="O15" s="48"/>
      <c r="P15" s="48"/>
      <c r="Q15" s="48"/>
      <c r="R15" s="48"/>
      <c r="S15" s="48"/>
    </row>
    <row r="16">
      <c r="A16" s="81">
        <v>20</v>
      </c>
      <c r="B16" s="48" t="s">
        <v>729</v>
      </c>
      <c r="C16" s="83">
        <f>Sum(G16,K16)</f>
        <v>2.1527777777777778e-02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0</v>
      </c>
      <c r="I16" s="83">
        <v>1.3194444444444444e-02</v>
      </c>
      <c r="J16" s="83">
        <v>1.7361111111111112e-02</v>
      </c>
      <c r="K16" s="83">
        <f>(J16-I16)+(S16-R16)</f>
        <v>4.1666666666666666e-03</v>
      </c>
      <c r="L16" s="48"/>
      <c r="M16" s="48"/>
      <c r="N16" s="72"/>
      <c r="O16" s="48"/>
      <c r="P16" s="48"/>
      <c r="Q16" s="48"/>
      <c r="R16" s="48"/>
      <c r="S16" s="48"/>
    </row>
    <row r="17">
      <c r="A17" s="81">
        <v>22</v>
      </c>
      <c r="B17" s="48" t="s">
        <v>730</v>
      </c>
      <c r="C17" s="83">
        <f>Sum(G17,K17)</f>
        <v>1.1111111111111112e-02</v>
      </c>
      <c r="D17" s="38">
        <v>0</v>
      </c>
      <c r="E17" s="83">
        <v>1.1458333333333333e-02</v>
      </c>
      <c r="F17" s="83">
        <v>1.7361111111111112e-02</v>
      </c>
      <c r="G17" s="83">
        <f>(F17-E17)+(Q17-P17)</f>
        <v>5.9027777777777776e-03</v>
      </c>
      <c r="H17" s="38">
        <v>0</v>
      </c>
      <c r="I17" s="83">
        <v>4.8611111111111112e-03</v>
      </c>
      <c r="J17" s="83">
        <v>1.0069444444444445e-02</v>
      </c>
      <c r="K17" s="83">
        <f>(J17-I17)+(S17-R17)</f>
        <v>5.208333333333333e-03</v>
      </c>
      <c r="L17" s="38">
        <v>1</v>
      </c>
      <c r="M17" s="48"/>
      <c r="N17" s="72"/>
      <c r="O17" s="48"/>
      <c r="P17" s="48"/>
      <c r="Q17" s="48"/>
      <c r="R17" s="48"/>
      <c r="S17" s="48"/>
    </row>
    <row r="18">
      <c r="A18" s="27"/>
      <c r="B18" s="48"/>
      <c r="C18" s="72"/>
      <c r="K18" s="87" t="s">
        <v>731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732</v>
      </c>
      <c r="B1" s="9" t="s">
        <v>733</v>
      </c>
      <c r="C1" s="9" t="s">
        <v>734</v>
      </c>
      <c r="D1" s="9" t="s">
        <v>735</v>
      </c>
      <c r="E1" s="9" t="s">
        <v>736</v>
      </c>
      <c r="F1" s="9" t="s">
        <v>737</v>
      </c>
      <c r="G1" s="9" t="s">
        <v>738</v>
      </c>
      <c r="H1" s="9" t="s">
        <v>739</v>
      </c>
      <c r="I1" s="9" t="s">
        <v>740</v>
      </c>
      <c r="J1" s="9" t="s">
        <v>741</v>
      </c>
      <c r="K1" s="9" t="s">
        <v>742</v>
      </c>
      <c r="L1" s="9" t="s">
        <v>743</v>
      </c>
      <c r="M1" s="9" t="s">
        <v>744</v>
      </c>
      <c r="N1" s="9" t="s">
        <v>745</v>
      </c>
      <c r="O1" s="9" t="s">
        <v>746</v>
      </c>
      <c r="P1" s="9" t="s">
        <v>747</v>
      </c>
      <c r="Q1" s="9" t="s">
        <v>748</v>
      </c>
      <c r="R1" s="9" t="s">
        <v>749</v>
      </c>
      <c r="S1" s="9" t="s">
        <v>750</v>
      </c>
    </row>
    <row r="2">
      <c r="A2" s="81">
        <v>1</v>
      </c>
      <c r="B2" s="48" t="s">
        <v>751</v>
      </c>
      <c r="C2" s="83">
        <f>Sum(G2,K2)</f>
        <v>0</v>
      </c>
      <c r="D2" s="48"/>
      <c r="E2" s="83">
        <v>0</v>
      </c>
      <c r="F2" s="83">
        <v>0</v>
      </c>
      <c r="G2" s="83">
        <f>(F2-E2)+(Q2-P2)</f>
        <v>0</v>
      </c>
      <c r="H2" s="48"/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48"/>
      <c r="P2" s="48"/>
      <c r="Q2" s="48"/>
      <c r="R2" s="48"/>
      <c r="S2" s="48"/>
    </row>
    <row r="3">
      <c r="A3" s="81">
        <v>2</v>
      </c>
      <c r="B3" s="48" t="s">
        <v>752</v>
      </c>
      <c r="C3" s="83">
        <f>Sum(G3,K3)</f>
        <v>0</v>
      </c>
      <c r="D3" s="48"/>
      <c r="E3" s="83">
        <v>0</v>
      </c>
      <c r="F3" s="83">
        <v>0</v>
      </c>
      <c r="G3" s="83">
        <f>(F3-E3)+(Q3-P3)</f>
        <v>0</v>
      </c>
      <c r="H3" s="48"/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48"/>
      <c r="P3" s="48"/>
      <c r="Q3" s="48"/>
      <c r="R3" s="48"/>
      <c r="S3" s="48"/>
    </row>
    <row r="4">
      <c r="A4" s="81">
        <v>3</v>
      </c>
      <c r="B4" s="48" t="s">
        <v>753</v>
      </c>
      <c r="C4" s="83">
        <f>Sum(G4,K4)</f>
        <v>0</v>
      </c>
      <c r="D4" s="48"/>
      <c r="E4" s="83">
        <v>0</v>
      </c>
      <c r="F4" s="83">
        <v>0</v>
      </c>
      <c r="G4" s="83">
        <f>(F4-E4)+(Q4-P4)</f>
        <v>0</v>
      </c>
      <c r="H4" s="48"/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48"/>
      <c r="P4" s="48"/>
      <c r="Q4" s="48"/>
      <c r="R4" s="48"/>
      <c r="S4" s="48"/>
    </row>
    <row r="5">
      <c r="A5" s="81">
        <v>4</v>
      </c>
      <c r="B5" s="48" t="s">
        <v>754</v>
      </c>
      <c r="C5" s="83">
        <f>Sum(G5,K5)</f>
        <v>0</v>
      </c>
      <c r="D5" s="48"/>
      <c r="E5" s="83">
        <v>0</v>
      </c>
      <c r="F5" s="83">
        <v>0</v>
      </c>
      <c r="G5" s="83">
        <f>(F5-E5)+(Q5-P5)</f>
        <v>0</v>
      </c>
      <c r="H5" s="48"/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48"/>
      <c r="P5" s="48"/>
      <c r="Q5" s="48"/>
      <c r="R5" s="48"/>
      <c r="S5" s="48"/>
    </row>
    <row r="6">
      <c r="A6" s="81">
        <v>5</v>
      </c>
      <c r="B6" s="48" t="s">
        <v>755</v>
      </c>
      <c r="C6" s="83">
        <f>Sum(G6,K6)</f>
        <v>0</v>
      </c>
      <c r="D6" s="48"/>
      <c r="E6" s="83">
        <v>0</v>
      </c>
      <c r="F6" s="83">
        <v>0</v>
      </c>
      <c r="G6" s="83">
        <f>(F6-E6)+(Q6-P6)</f>
        <v>0</v>
      </c>
      <c r="H6" s="48"/>
      <c r="I6" s="83">
        <v>0</v>
      </c>
      <c r="J6" s="83">
        <v>0</v>
      </c>
      <c r="K6" s="83">
        <f>(J6-I6)+(S6-R6)</f>
        <v>0</v>
      </c>
      <c r="L6" s="48"/>
      <c r="M6" s="48"/>
      <c r="N6" s="72"/>
      <c r="O6" s="48"/>
      <c r="P6" s="48"/>
      <c r="Q6" s="48"/>
      <c r="R6" s="48"/>
      <c r="S6" s="48"/>
    </row>
    <row r="7">
      <c r="A7" s="81">
        <v>6</v>
      </c>
      <c r="B7" s="48" t="s">
        <v>756</v>
      </c>
      <c r="C7" s="83">
        <f>Sum(G7,K7)</f>
        <v>0</v>
      </c>
      <c r="D7" s="48"/>
      <c r="E7" s="83">
        <v>0</v>
      </c>
      <c r="F7" s="83">
        <v>0</v>
      </c>
      <c r="G7" s="83">
        <f>(F7-E7)+(Q7-P7)</f>
        <v>0</v>
      </c>
      <c r="H7" s="48"/>
      <c r="I7" s="83">
        <v>0</v>
      </c>
      <c r="J7" s="83">
        <v>0</v>
      </c>
      <c r="K7" s="83">
        <f>(J7-I7)+(S7-R7)</f>
        <v>0</v>
      </c>
      <c r="L7" s="48"/>
      <c r="M7" s="48"/>
      <c r="N7" s="72"/>
      <c r="O7" s="48"/>
      <c r="P7" s="48"/>
      <c r="Q7" s="48"/>
      <c r="R7" s="48"/>
      <c r="S7" s="48"/>
    </row>
    <row r="8">
      <c r="A8" s="81">
        <v>7</v>
      </c>
      <c r="B8" s="48" t="s">
        <v>757</v>
      </c>
      <c r="C8" s="83">
        <f>Sum(G8,K8)</f>
        <v>0</v>
      </c>
      <c r="D8" s="48"/>
      <c r="E8" s="83">
        <v>0</v>
      </c>
      <c r="F8" s="83">
        <v>0</v>
      </c>
      <c r="G8" s="83">
        <f>(F8-E8)+(Q8-P8)</f>
        <v>0</v>
      </c>
      <c r="H8" s="48"/>
      <c r="I8" s="83">
        <v>0</v>
      </c>
      <c r="J8" s="83">
        <v>0</v>
      </c>
      <c r="K8" s="83">
        <f>(J8-I8)+(S8-R8)</f>
        <v>0</v>
      </c>
      <c r="L8" s="48"/>
      <c r="M8" s="48"/>
      <c r="N8" s="72"/>
      <c r="O8" s="48"/>
      <c r="P8" s="48"/>
      <c r="Q8" s="48"/>
      <c r="R8" s="48"/>
      <c r="S8" s="48"/>
    </row>
    <row r="9">
      <c r="A9" s="81">
        <v>8</v>
      </c>
      <c r="B9" s="48" t="s">
        <v>758</v>
      </c>
      <c r="C9" s="83">
        <f>Sum(G9,K9)</f>
        <v>0</v>
      </c>
      <c r="D9" s="48"/>
      <c r="E9" s="83">
        <v>0</v>
      </c>
      <c r="F9" s="83">
        <v>0</v>
      </c>
      <c r="G9" s="83">
        <f>(F9-E9)+(Q9-P9)</f>
        <v>0</v>
      </c>
      <c r="H9" s="48"/>
      <c r="I9" s="83">
        <v>0</v>
      </c>
      <c r="J9" s="83">
        <v>0</v>
      </c>
      <c r="K9" s="83">
        <f>(J9-I9)+(S9-R9)</f>
        <v>0</v>
      </c>
      <c r="L9" s="48"/>
      <c r="M9" s="48"/>
      <c r="N9" s="72"/>
      <c r="O9" s="48"/>
      <c r="P9" s="48"/>
      <c r="Q9" s="48"/>
      <c r="R9" s="48"/>
      <c r="S9" s="48"/>
    </row>
    <row r="10">
      <c r="A10" s="81">
        <v>9</v>
      </c>
      <c r="B10" s="48" t="s">
        <v>759</v>
      </c>
      <c r="C10" s="83">
        <f>Sum(G10,K10)</f>
        <v>0</v>
      </c>
      <c r="D10" s="48"/>
      <c r="E10" s="83">
        <v>0</v>
      </c>
      <c r="F10" s="83">
        <v>0</v>
      </c>
      <c r="G10" s="83">
        <f>(F10-E10)+(Q10-P10)</f>
        <v>0</v>
      </c>
      <c r="H10" s="48"/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48"/>
      <c r="P10" s="48"/>
      <c r="Q10" s="48"/>
      <c r="R10" s="48"/>
      <c r="S10" s="48"/>
    </row>
    <row r="11">
      <c r="A11" s="84">
        <v>10</v>
      </c>
      <c r="B11" s="85" t="s">
        <v>760</v>
      </c>
      <c r="C11" s="86">
        <f>Sum(G11,K11)</f>
        <v>0</v>
      </c>
      <c r="D11" s="85"/>
      <c r="E11" s="86">
        <v>0</v>
      </c>
      <c r="F11" s="86">
        <v>0</v>
      </c>
      <c r="G11" s="86">
        <f>(F11-E11)+(Q11-P11)</f>
        <v>0</v>
      </c>
      <c r="H11" s="85"/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85"/>
      <c r="P11" s="85"/>
      <c r="Q11" s="85"/>
      <c r="R11" s="85"/>
      <c r="S11" s="85"/>
    </row>
    <row r="12">
      <c r="A12" s="81">
        <v>11</v>
      </c>
      <c r="B12" s="48" t="s">
        <v>761</v>
      </c>
      <c r="C12" s="83">
        <f>Sum(G12,K12)</f>
        <v>0</v>
      </c>
      <c r="D12" s="48"/>
      <c r="E12" s="83">
        <v>0</v>
      </c>
      <c r="F12" s="83">
        <v>0</v>
      </c>
      <c r="G12" s="83">
        <f>(F12-E12)+(Q12-P12)</f>
        <v>0</v>
      </c>
      <c r="H12" s="48"/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48"/>
      <c r="P12" s="48"/>
      <c r="Q12" s="48"/>
      <c r="R12" s="48"/>
      <c r="S12" s="48"/>
    </row>
    <row r="13">
      <c r="A13" s="81">
        <v>12</v>
      </c>
      <c r="B13" s="48" t="s">
        <v>762</v>
      </c>
      <c r="C13" s="83">
        <f>Sum(G13,K13)</f>
        <v>0</v>
      </c>
      <c r="D13" s="48"/>
      <c r="E13" s="83">
        <v>0</v>
      </c>
      <c r="F13" s="83">
        <v>0</v>
      </c>
      <c r="G13" s="83">
        <f>(F13-E13)+(Q13-P13)</f>
        <v>0</v>
      </c>
      <c r="H13" s="48"/>
      <c r="I13" s="83">
        <v>0</v>
      </c>
      <c r="J13" s="83">
        <v>0</v>
      </c>
      <c r="K13" s="83">
        <f>(J13-I13)+(S13-R13)</f>
        <v>0</v>
      </c>
      <c r="L13" s="48"/>
      <c r="M13" s="48"/>
      <c r="N13" s="72"/>
      <c r="O13" s="48"/>
      <c r="P13" s="48"/>
      <c r="Q13" s="48"/>
      <c r="R13" s="48"/>
      <c r="S13" s="48"/>
    </row>
    <row r="14">
      <c r="A14" s="81">
        <v>15</v>
      </c>
      <c r="B14" s="48" t="s">
        <v>763</v>
      </c>
      <c r="C14" s="83">
        <f>Sum(G14,K14)</f>
        <v>0</v>
      </c>
      <c r="D14" s="48"/>
      <c r="E14" s="83">
        <v>0</v>
      </c>
      <c r="F14" s="83">
        <v>0</v>
      </c>
      <c r="G14" s="83">
        <f>(F14-E14)+(Q14-P14)</f>
        <v>0</v>
      </c>
      <c r="H14" s="48"/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48"/>
      <c r="P14" s="48"/>
      <c r="Q14" s="48"/>
      <c r="R14" s="48"/>
      <c r="S14" s="48"/>
    </row>
    <row r="15">
      <c r="A15" s="81">
        <v>16</v>
      </c>
      <c r="B15" s="48" t="s">
        <v>764</v>
      </c>
      <c r="C15" s="83">
        <f>Sum(G15,K15)</f>
        <v>0</v>
      </c>
      <c r="D15" s="48"/>
      <c r="E15" s="83">
        <v>0</v>
      </c>
      <c r="F15" s="83">
        <v>0</v>
      </c>
      <c r="G15" s="83">
        <f>(F15-E15)+(Q15-P15)</f>
        <v>0</v>
      </c>
      <c r="H15" s="48"/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48"/>
      <c r="P15" s="48"/>
      <c r="Q15" s="48"/>
      <c r="R15" s="48"/>
      <c r="S15" s="48"/>
    </row>
    <row r="16">
      <c r="A16" s="81">
        <v>20</v>
      </c>
      <c r="B16" s="48" t="s">
        <v>765</v>
      </c>
      <c r="C16" s="83">
        <f>Sum(G16,K16)</f>
        <v>0</v>
      </c>
      <c r="D16" s="48"/>
      <c r="E16" s="83">
        <v>0</v>
      </c>
      <c r="F16" s="83">
        <v>0</v>
      </c>
      <c r="G16" s="83">
        <f>(F16-E16)+(Q16-P16)</f>
        <v>0</v>
      </c>
      <c r="H16" s="48"/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48"/>
      <c r="P16" s="48"/>
      <c r="Q16" s="48"/>
      <c r="R16" s="48"/>
      <c r="S16" s="48"/>
    </row>
    <row r="17">
      <c r="A17" s="81">
        <v>22</v>
      </c>
      <c r="B17" s="48" t="s">
        <v>766</v>
      </c>
      <c r="C17" s="83">
        <f>Sum(G17,K17)</f>
        <v>0</v>
      </c>
      <c r="D17" s="48"/>
      <c r="E17" s="83">
        <v>0</v>
      </c>
      <c r="F17" s="83">
        <v>0</v>
      </c>
      <c r="G17" s="83">
        <f>(F17-E17)+(Q17-P17)</f>
        <v>0</v>
      </c>
      <c r="H17" s="48"/>
      <c r="I17" s="83">
        <v>0</v>
      </c>
      <c r="J17" s="83">
        <v>0</v>
      </c>
      <c r="K17" s="83">
        <f>(J17-I17)+(S17-R17)</f>
        <v>0</v>
      </c>
      <c r="L17" s="48"/>
      <c r="M17" s="48"/>
      <c r="N17" s="72"/>
      <c r="O17" s="48"/>
      <c r="P17" s="48"/>
      <c r="Q17" s="48"/>
      <c r="R17" s="48"/>
      <c r="S17" s="48"/>
    </row>
    <row r="18">
      <c r="A18" s="27"/>
      <c r="B18" s="48"/>
      <c r="C18" s="72"/>
      <c r="K18" s="87" t="s">
        <v>767</v>
      </c>
      <c r="L18" s="88"/>
      <c r="M18" s="48"/>
      <c r="N18" s="48"/>
      <c r="O18" s="90"/>
      <c r="P18" s="72"/>
      <c r="S18" s="72"/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768</v>
      </c>
      <c r="B1" s="9" t="s">
        <v>769</v>
      </c>
      <c r="C1" s="9" t="s">
        <v>770</v>
      </c>
      <c r="D1" s="9" t="s">
        <v>771</v>
      </c>
      <c r="E1" s="9" t="s">
        <v>772</v>
      </c>
      <c r="F1" s="9" t="s">
        <v>773</v>
      </c>
      <c r="G1" s="9" t="s">
        <v>774</v>
      </c>
      <c r="H1" s="9" t="s">
        <v>775</v>
      </c>
      <c r="I1" s="9" t="s">
        <v>776</v>
      </c>
      <c r="J1" s="9" t="s">
        <v>777</v>
      </c>
      <c r="K1" s="9" t="s">
        <v>778</v>
      </c>
      <c r="L1" s="9" t="s">
        <v>779</v>
      </c>
      <c r="M1" s="9" t="s">
        <v>780</v>
      </c>
      <c r="N1" s="9" t="s">
        <v>781</v>
      </c>
      <c r="O1" s="9" t="s">
        <v>782</v>
      </c>
      <c r="P1" s="9" t="s">
        <v>783</v>
      </c>
      <c r="Q1" s="9" t="s">
        <v>784</v>
      </c>
      <c r="R1" s="9" t="s">
        <v>785</v>
      </c>
      <c r="S1" s="9" t="s">
        <v>786</v>
      </c>
    </row>
    <row r="2">
      <c r="A2" s="81">
        <v>1</v>
      </c>
      <c r="B2" s="48" t="s">
        <v>787</v>
      </c>
      <c r="C2" s="83">
        <f>Sum(G2,K2)</f>
        <v>0</v>
      </c>
      <c r="D2" s="48"/>
      <c r="E2" s="83">
        <v>0</v>
      </c>
      <c r="F2" s="83">
        <v>0</v>
      </c>
      <c r="G2" s="83">
        <f>(F2-E2)+(Q2-P2)</f>
        <v>0</v>
      </c>
      <c r="H2" s="48"/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48"/>
      <c r="P2" s="48"/>
      <c r="Q2" s="48"/>
      <c r="R2" s="48"/>
      <c r="S2" s="48"/>
    </row>
    <row r="3">
      <c r="A3" s="81">
        <v>2</v>
      </c>
      <c r="B3" s="48" t="s">
        <v>788</v>
      </c>
      <c r="C3" s="83">
        <f>Sum(G3,K3)</f>
        <v>0</v>
      </c>
      <c r="D3" s="48"/>
      <c r="E3" s="83">
        <v>0</v>
      </c>
      <c r="F3" s="83">
        <v>0</v>
      </c>
      <c r="G3" s="83">
        <f>(F3-E3)+(Q3-P3)</f>
        <v>0</v>
      </c>
      <c r="H3" s="48"/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48"/>
      <c r="P3" s="48"/>
      <c r="Q3" s="48"/>
      <c r="R3" s="48"/>
      <c r="S3" s="48"/>
    </row>
    <row r="4">
      <c r="A4" s="81">
        <v>3</v>
      </c>
      <c r="B4" s="48" t="s">
        <v>789</v>
      </c>
      <c r="C4" s="83">
        <f>Sum(G4,K4)</f>
        <v>0</v>
      </c>
      <c r="D4" s="48"/>
      <c r="E4" s="83">
        <v>0</v>
      </c>
      <c r="F4" s="83">
        <v>0</v>
      </c>
      <c r="G4" s="83">
        <f>(F4-E4)+(Q4-P4)</f>
        <v>0</v>
      </c>
      <c r="H4" s="48"/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48"/>
      <c r="P4" s="48"/>
      <c r="Q4" s="48"/>
      <c r="R4" s="48"/>
      <c r="S4" s="48"/>
    </row>
    <row r="5">
      <c r="A5" s="81">
        <v>4</v>
      </c>
      <c r="B5" s="48" t="s">
        <v>790</v>
      </c>
      <c r="C5" s="83">
        <f>Sum(G5,K5)</f>
        <v>0</v>
      </c>
      <c r="D5" s="48"/>
      <c r="E5" s="83">
        <v>0</v>
      </c>
      <c r="F5" s="83">
        <v>0</v>
      </c>
      <c r="G5" s="83">
        <f>(F5-E5)+(Q5-P5)</f>
        <v>0</v>
      </c>
      <c r="H5" s="48"/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48"/>
      <c r="P5" s="48"/>
      <c r="Q5" s="48"/>
      <c r="R5" s="48"/>
      <c r="S5" s="48"/>
    </row>
    <row r="6">
      <c r="A6" s="81">
        <v>5</v>
      </c>
      <c r="B6" s="48" t="s">
        <v>791</v>
      </c>
      <c r="C6" s="83">
        <f>Sum(G6,K6)</f>
        <v>0</v>
      </c>
      <c r="D6" s="48"/>
      <c r="E6" s="83">
        <v>0</v>
      </c>
      <c r="F6" s="83">
        <v>0</v>
      </c>
      <c r="G6" s="83">
        <f>(F6-E6)+(Q6-P6)</f>
        <v>0</v>
      </c>
      <c r="H6" s="48"/>
      <c r="I6" s="83">
        <v>0</v>
      </c>
      <c r="J6" s="83">
        <v>0</v>
      </c>
      <c r="K6" s="83">
        <f>(J6-I6)+(S6-R6)</f>
        <v>0</v>
      </c>
      <c r="L6" s="48"/>
      <c r="M6" s="48"/>
      <c r="N6" s="72"/>
      <c r="O6" s="48"/>
      <c r="P6" s="48"/>
      <c r="Q6" s="48"/>
      <c r="R6" s="48"/>
      <c r="S6" s="48"/>
    </row>
    <row r="7">
      <c r="A7" s="81">
        <v>6</v>
      </c>
      <c r="B7" s="48" t="s">
        <v>792</v>
      </c>
      <c r="C7" s="83">
        <f>Sum(G7,K7)</f>
        <v>0</v>
      </c>
      <c r="D7" s="48"/>
      <c r="E7" s="83">
        <v>0</v>
      </c>
      <c r="F7" s="83">
        <v>0</v>
      </c>
      <c r="G7" s="83">
        <f>(F7-E7)+(Q7-P7)</f>
        <v>0</v>
      </c>
      <c r="H7" s="48"/>
      <c r="I7" s="83">
        <v>0</v>
      </c>
      <c r="J7" s="83">
        <v>0</v>
      </c>
      <c r="K7" s="83">
        <f>(J7-I7)+(S7-R7)</f>
        <v>0</v>
      </c>
      <c r="L7" s="48"/>
      <c r="M7" s="48"/>
      <c r="N7" s="72"/>
      <c r="O7" s="48"/>
      <c r="P7" s="48"/>
      <c r="Q7" s="48"/>
      <c r="R7" s="48"/>
      <c r="S7" s="48"/>
    </row>
    <row r="8">
      <c r="A8" s="81">
        <v>7</v>
      </c>
      <c r="B8" s="48" t="s">
        <v>793</v>
      </c>
      <c r="C8" s="83">
        <f>Sum(G8,K8)</f>
        <v>0</v>
      </c>
      <c r="D8" s="48"/>
      <c r="E8" s="83">
        <v>0</v>
      </c>
      <c r="F8" s="83">
        <v>0</v>
      </c>
      <c r="G8" s="83">
        <f>(F8-E8)+(Q8-P8)</f>
        <v>0</v>
      </c>
      <c r="H8" s="48"/>
      <c r="I8" s="83">
        <v>0</v>
      </c>
      <c r="J8" s="83">
        <v>0</v>
      </c>
      <c r="K8" s="83">
        <f>(J8-I8)+(S8-R8)</f>
        <v>0</v>
      </c>
      <c r="L8" s="48"/>
      <c r="M8" s="48"/>
      <c r="N8" s="72"/>
      <c r="O8" s="48"/>
      <c r="P8" s="48"/>
      <c r="Q8" s="48"/>
      <c r="R8" s="48"/>
      <c r="S8" s="48"/>
    </row>
    <row r="9">
      <c r="A9" s="81">
        <v>8</v>
      </c>
      <c r="B9" s="48" t="s">
        <v>794</v>
      </c>
      <c r="C9" s="83">
        <f>Sum(G9,K9)</f>
        <v>0</v>
      </c>
      <c r="D9" s="48"/>
      <c r="E9" s="83">
        <v>0</v>
      </c>
      <c r="F9" s="83">
        <v>0</v>
      </c>
      <c r="G9" s="83">
        <f>(F9-E9)+(Q9-P9)</f>
        <v>0</v>
      </c>
      <c r="H9" s="48"/>
      <c r="I9" s="83">
        <v>0</v>
      </c>
      <c r="J9" s="83">
        <v>0</v>
      </c>
      <c r="K9" s="83">
        <f>(J9-I9)+(S9-R9)</f>
        <v>0</v>
      </c>
      <c r="L9" s="48"/>
      <c r="M9" s="48"/>
      <c r="N9" s="72"/>
      <c r="O9" s="48"/>
      <c r="P9" s="48"/>
      <c r="Q9" s="48"/>
      <c r="R9" s="48"/>
      <c r="S9" s="48"/>
    </row>
    <row r="10">
      <c r="A10" s="81">
        <v>9</v>
      </c>
      <c r="B10" s="48" t="s">
        <v>795</v>
      </c>
      <c r="C10" s="83">
        <f>Sum(G10,K10)</f>
        <v>0</v>
      </c>
      <c r="D10" s="48"/>
      <c r="E10" s="83">
        <v>0</v>
      </c>
      <c r="F10" s="83">
        <v>0</v>
      </c>
      <c r="G10" s="83">
        <f>(F10-E10)+(Q10-P10)</f>
        <v>0</v>
      </c>
      <c r="H10" s="48"/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48"/>
      <c r="P10" s="48"/>
      <c r="Q10" s="48"/>
      <c r="R10" s="48"/>
      <c r="S10" s="48"/>
    </row>
    <row r="11">
      <c r="A11" s="84">
        <v>10</v>
      </c>
      <c r="B11" s="85" t="s">
        <v>796</v>
      </c>
      <c r="C11" s="86">
        <f>Sum(G11,K11)</f>
        <v>0</v>
      </c>
      <c r="D11" s="85"/>
      <c r="E11" s="86">
        <v>0</v>
      </c>
      <c r="F11" s="86">
        <v>0</v>
      </c>
      <c r="G11" s="86">
        <f>(F11-E11)+(Q11-P11)</f>
        <v>0</v>
      </c>
      <c r="H11" s="85"/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85"/>
      <c r="P11" s="85"/>
      <c r="Q11" s="85"/>
      <c r="R11" s="85"/>
      <c r="S11" s="85"/>
    </row>
    <row r="12">
      <c r="A12" s="81">
        <v>11</v>
      </c>
      <c r="B12" s="48" t="s">
        <v>797</v>
      </c>
      <c r="C12" s="83">
        <f>Sum(G12,K12)</f>
        <v>0</v>
      </c>
      <c r="D12" s="48"/>
      <c r="E12" s="83">
        <v>0</v>
      </c>
      <c r="F12" s="83">
        <v>0</v>
      </c>
      <c r="G12" s="83">
        <f>(F12-E12)+(Q12-P12)</f>
        <v>0</v>
      </c>
      <c r="H12" s="48"/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48"/>
      <c r="P12" s="48"/>
      <c r="Q12" s="48"/>
      <c r="R12" s="48"/>
      <c r="S12" s="48"/>
    </row>
    <row r="13">
      <c r="A13" s="81">
        <v>12</v>
      </c>
      <c r="B13" s="48" t="s">
        <v>798</v>
      </c>
      <c r="C13" s="83">
        <f>Sum(G13,K13)</f>
        <v>0</v>
      </c>
      <c r="D13" s="48"/>
      <c r="E13" s="83">
        <v>0</v>
      </c>
      <c r="F13" s="83">
        <v>0</v>
      </c>
      <c r="G13" s="83">
        <f>(F13-E13)+(Q13-P13)</f>
        <v>0</v>
      </c>
      <c r="H13" s="48"/>
      <c r="I13" s="83">
        <v>0</v>
      </c>
      <c r="J13" s="83">
        <v>0</v>
      </c>
      <c r="K13" s="83">
        <f>(J13-I13)+(S13-R13)</f>
        <v>0</v>
      </c>
      <c r="L13" s="48"/>
      <c r="M13" s="48"/>
      <c r="N13" s="72"/>
      <c r="O13" s="48"/>
      <c r="P13" s="48"/>
      <c r="Q13" s="48"/>
      <c r="R13" s="48"/>
      <c r="S13" s="48"/>
    </row>
    <row r="14">
      <c r="A14" s="81">
        <v>15</v>
      </c>
      <c r="B14" s="48" t="s">
        <v>799</v>
      </c>
      <c r="C14" s="83">
        <f>Sum(G14,K14)</f>
        <v>0</v>
      </c>
      <c r="D14" s="48"/>
      <c r="E14" s="83">
        <v>0</v>
      </c>
      <c r="F14" s="83">
        <v>0</v>
      </c>
      <c r="G14" s="83">
        <f>(F14-E14)+(Q14-P14)</f>
        <v>0</v>
      </c>
      <c r="H14" s="48"/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48"/>
      <c r="P14" s="48"/>
      <c r="Q14" s="48"/>
      <c r="R14" s="48"/>
      <c r="S14" s="48"/>
    </row>
    <row r="15">
      <c r="A15" s="81">
        <v>16</v>
      </c>
      <c r="B15" s="48" t="s">
        <v>800</v>
      </c>
      <c r="C15" s="83">
        <f>Sum(G15,K15)</f>
        <v>0</v>
      </c>
      <c r="D15" s="48"/>
      <c r="E15" s="83">
        <v>0</v>
      </c>
      <c r="F15" s="83">
        <v>0</v>
      </c>
      <c r="G15" s="83">
        <f>(F15-E15)+(Q15-P15)</f>
        <v>0</v>
      </c>
      <c r="H15" s="48"/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48"/>
      <c r="P15" s="48"/>
      <c r="Q15" s="48"/>
      <c r="R15" s="48"/>
      <c r="S15" s="48"/>
    </row>
    <row r="16">
      <c r="A16" s="81">
        <v>20</v>
      </c>
      <c r="B16" s="48" t="s">
        <v>801</v>
      </c>
      <c r="C16" s="83">
        <f>Sum(G16,K16)</f>
        <v>0</v>
      </c>
      <c r="D16" s="48"/>
      <c r="E16" s="83">
        <v>0</v>
      </c>
      <c r="F16" s="83">
        <v>0</v>
      </c>
      <c r="G16" s="83">
        <f>(F16-E16)+(Q16-P16)</f>
        <v>0</v>
      </c>
      <c r="H16" s="48"/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48"/>
      <c r="P16" s="48"/>
      <c r="Q16" s="48"/>
      <c r="R16" s="48"/>
      <c r="S16" s="48"/>
    </row>
    <row r="17">
      <c r="A17" s="81">
        <v>22</v>
      </c>
      <c r="B17" s="48" t="s">
        <v>802</v>
      </c>
      <c r="C17" s="83">
        <f>Sum(G17,K17)</f>
        <v>0</v>
      </c>
      <c r="D17" s="48"/>
      <c r="E17" s="83">
        <v>0</v>
      </c>
      <c r="F17" s="83">
        <v>0</v>
      </c>
      <c r="G17" s="83">
        <f>(F17-E17)+(Q17-P17)</f>
        <v>0</v>
      </c>
      <c r="H17" s="48"/>
      <c r="I17" s="83">
        <v>0</v>
      </c>
      <c r="J17" s="83">
        <v>0</v>
      </c>
      <c r="K17" s="83">
        <f>(J17-I17)+(S17-R17)</f>
        <v>0</v>
      </c>
      <c r="L17" s="48"/>
      <c r="M17" s="48"/>
      <c r="N17" s="72"/>
      <c r="O17" s="48"/>
      <c r="P17" s="48"/>
      <c r="Q17" s="48"/>
      <c r="R17" s="48"/>
      <c r="S17" s="48"/>
    </row>
    <row r="18">
      <c r="A18" s="27"/>
      <c r="B18" s="48"/>
      <c r="C18" s="72"/>
      <c r="K18" s="87" t="s">
        <v>803</v>
      </c>
      <c r="L18" s="88"/>
      <c r="M18" s="48"/>
      <c r="N18" s="48"/>
      <c r="O18" s="90"/>
      <c r="P18" s="72"/>
      <c r="S18" s="72"/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804</v>
      </c>
      <c r="B1" s="9" t="s">
        <v>805</v>
      </c>
      <c r="C1" s="9" t="s">
        <v>806</v>
      </c>
      <c r="D1" s="9" t="s">
        <v>807</v>
      </c>
      <c r="E1" s="9" t="s">
        <v>808</v>
      </c>
      <c r="F1" s="9" t="s">
        <v>809</v>
      </c>
      <c r="G1" s="9" t="s">
        <v>810</v>
      </c>
      <c r="H1" s="9" t="s">
        <v>811</v>
      </c>
      <c r="I1" s="9" t="s">
        <v>812</v>
      </c>
      <c r="J1" s="9" t="s">
        <v>813</v>
      </c>
      <c r="K1" s="9" t="s">
        <v>814</v>
      </c>
      <c r="L1" s="9" t="s">
        <v>815</v>
      </c>
      <c r="M1" s="9" t="s">
        <v>816</v>
      </c>
      <c r="N1" s="9" t="s">
        <v>817</v>
      </c>
      <c r="O1" s="9" t="s">
        <v>818</v>
      </c>
      <c r="P1" s="9" t="s">
        <v>819</v>
      </c>
      <c r="Q1" s="9" t="s">
        <v>820</v>
      </c>
      <c r="R1" s="9" t="s">
        <v>821</v>
      </c>
      <c r="S1" s="9" t="s">
        <v>822</v>
      </c>
    </row>
    <row r="2">
      <c r="A2" s="81">
        <v>1</v>
      </c>
      <c r="B2" s="48" t="s">
        <v>823</v>
      </c>
      <c r="C2" s="83">
        <f>Sum(G2,K2)</f>
        <v>3.4722222222222224e-02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824</v>
      </c>
      <c r="C3" s="83">
        <f>Sum(G3,K3)</f>
        <v>1.5277777777777777e-02</v>
      </c>
      <c r="D3" s="38">
        <v>0</v>
      </c>
      <c r="E3" s="83">
        <v>9.7222222222222224e-03</v>
      </c>
      <c r="F3" s="83">
        <v>1.7361111111111112e-02</v>
      </c>
      <c r="G3" s="83">
        <f>(F3-E3)+(Q3-P3)</f>
        <v>7.6388888888888886e-03</v>
      </c>
      <c r="H3" s="38">
        <v>1</v>
      </c>
      <c r="I3" s="83">
        <v>0</v>
      </c>
      <c r="J3" s="83">
        <v>4.1666666666666666e-03</v>
      </c>
      <c r="K3" s="83">
        <f>(J3-I3)+(S3-R3)</f>
        <v>7.6388888888888886e-03</v>
      </c>
      <c r="L3" s="48"/>
      <c r="M3" s="48"/>
      <c r="N3" s="72"/>
      <c r="O3" s="38">
        <v>1</v>
      </c>
      <c r="P3" s="48"/>
      <c r="Q3" s="48"/>
      <c r="R3" s="83">
        <v>1.3888888888888888e-02</v>
      </c>
      <c r="S3" s="83">
        <v>1.7361111111111112e-02</v>
      </c>
    </row>
    <row r="4">
      <c r="A4" s="81">
        <v>3</v>
      </c>
      <c r="B4" s="48" t="s">
        <v>825</v>
      </c>
      <c r="C4" s="83">
        <f>Sum(G4,K4)</f>
        <v>1.9097222222222224e-02</v>
      </c>
      <c r="D4" s="38">
        <v>1</v>
      </c>
      <c r="E4" s="83">
        <v>0</v>
      </c>
      <c r="F4" s="83">
        <v>8.6805555555555559e-03</v>
      </c>
      <c r="G4" s="83">
        <f>(F4-E4)+(Q4-P4)</f>
        <v>8.6805555555555559e-03</v>
      </c>
      <c r="H4" s="38">
        <v>1</v>
      </c>
      <c r="I4" s="83">
        <v>0</v>
      </c>
      <c r="J4" s="83">
        <v>1.0416666666666666e-02</v>
      </c>
      <c r="K4" s="83">
        <f>(J4-I4)+(S4-R4)</f>
        <v>1.0416666666666666e-02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826</v>
      </c>
      <c r="C5" s="83">
        <f>Sum(G5,K5)</f>
        <v>1.5625e-02</v>
      </c>
      <c r="D5" s="38">
        <v>0</v>
      </c>
      <c r="E5" s="83">
        <v>8.6805555555555559e-03</v>
      </c>
      <c r="F5" s="83">
        <v>1.7361111111111112e-02</v>
      </c>
      <c r="G5" s="83">
        <f>(F5-E5)+(Q5-P5)</f>
        <v>8.6805555555555559e-03</v>
      </c>
      <c r="H5" s="38">
        <v>1</v>
      </c>
      <c r="I5" s="83">
        <v>0</v>
      </c>
      <c r="J5" s="83">
        <v>6.9444444444444441e-03</v>
      </c>
      <c r="K5" s="83">
        <f>(J5-I5)+(S5-R5)</f>
        <v>6.9444444444444441e-03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827</v>
      </c>
      <c r="C6" s="83">
        <f>Sum(G6,K6)</f>
        <v>3.125e-02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0</v>
      </c>
      <c r="I6" s="83">
        <v>3.472222222222222e-03</v>
      </c>
      <c r="J6" s="83">
        <v>1.7361111111111112e-02</v>
      </c>
      <c r="K6" s="83">
        <f>(J6-I6)+(S6-R6)</f>
        <v>1.3888888888888888e-02</v>
      </c>
      <c r="L6" s="38">
        <v>1</v>
      </c>
      <c r="M6" s="38">
        <v>1</v>
      </c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828</v>
      </c>
      <c r="C7" s="83">
        <f>Sum(G7,K7)</f>
        <v>1.8055555555555554e-02</v>
      </c>
      <c r="D7" s="38">
        <v>0</v>
      </c>
      <c r="E7" s="83">
        <v>9.7222222222222224e-03</v>
      </c>
      <c r="F7" s="83">
        <v>1.7361111111111112e-02</v>
      </c>
      <c r="G7" s="83">
        <f>(F7-E7)+(Q7-P7)</f>
        <v>7.6388888888888886e-03</v>
      </c>
      <c r="H7" s="38">
        <v>0</v>
      </c>
      <c r="I7" s="83">
        <v>6.9444444444444441e-03</v>
      </c>
      <c r="J7" s="83">
        <v>1.7361111111111112e-02</v>
      </c>
      <c r="K7" s="83">
        <f>(J7-I7)+(S7-R7)</f>
        <v>1.0416666666666666e-02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829</v>
      </c>
      <c r="C8" s="83">
        <f>Sum(G8,K8)</f>
        <v>2.1874999999999999e-02</v>
      </c>
      <c r="D8" s="38">
        <v>1</v>
      </c>
      <c r="E8" s="83">
        <v>0</v>
      </c>
      <c r="F8" s="83">
        <v>8.6805555555555559e-03</v>
      </c>
      <c r="G8" s="83">
        <f>(F8-E8)+(Q8-P8)</f>
        <v>8.6805555555555559e-03</v>
      </c>
      <c r="H8" s="38">
        <v>0</v>
      </c>
      <c r="I8" s="83">
        <v>4.1666666666666666e-03</v>
      </c>
      <c r="J8" s="83">
        <v>1.7361111111111112e-02</v>
      </c>
      <c r="K8" s="83">
        <f>(J8-I8)+(S8-R8)</f>
        <v>1.3194444444444444e-02</v>
      </c>
      <c r="L8" s="38">
        <v>1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830</v>
      </c>
      <c r="C9" s="83">
        <f>Sum(G9,K9)</f>
        <v>1.9444444444444445e-02</v>
      </c>
      <c r="D9" s="38">
        <v>1</v>
      </c>
      <c r="E9" s="83">
        <v>0</v>
      </c>
      <c r="F9" s="83">
        <v>9.7222222222222224e-03</v>
      </c>
      <c r="G9" s="83">
        <f>(F9-E9)+(Q9-P9)</f>
        <v>9.7222222222222224e-03</v>
      </c>
      <c r="H9" s="38">
        <v>1</v>
      </c>
      <c r="I9" s="83">
        <v>0</v>
      </c>
      <c r="J9" s="83">
        <v>9.7222222222222224e-03</v>
      </c>
      <c r="K9" s="83">
        <f>(J9-I9)+(S9-R9)</f>
        <v>9.7222222222222224e-03</v>
      </c>
      <c r="L9" s="38">
        <v>2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831</v>
      </c>
      <c r="C10" s="83">
        <f>Sum(G10,K10)</f>
        <v>1.6319444444444445e-02</v>
      </c>
      <c r="D10" s="38">
        <v>0</v>
      </c>
      <c r="E10" s="83">
        <v>8.6805555555555559e-03</v>
      </c>
      <c r="F10" s="83">
        <v>1.7361111111111112e-02</v>
      </c>
      <c r="G10" s="83">
        <f>(F10-E10)+(Q10-P10)</f>
        <v>8.6805555555555559e-03</v>
      </c>
      <c r="H10" s="38">
        <v>0</v>
      </c>
      <c r="I10" s="83">
        <v>9.7222222222222224e-03</v>
      </c>
      <c r="J10" s="83">
        <v>1.7361111111111112e-02</v>
      </c>
      <c r="K10" s="83">
        <f>(J10-I10)+(S10-R10)</f>
        <v>7.6388888888888886e-03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832</v>
      </c>
      <c r="C11" s="83">
        <f>Sum(G11,K11)</f>
        <v>1.4236111111111111e-02</v>
      </c>
      <c r="D11" s="38">
        <v>0</v>
      </c>
      <c r="E11" s="83">
        <v>1.0763888888888889e-02</v>
      </c>
      <c r="F11" s="83">
        <v>1.7361111111111112e-02</v>
      </c>
      <c r="G11" s="83">
        <f>(F11-E11)+(Q11-P11)</f>
        <v>6.5972222222222222e-03</v>
      </c>
      <c r="H11" s="38">
        <v>0</v>
      </c>
      <c r="I11" s="83">
        <v>9.7222222222222224e-03</v>
      </c>
      <c r="J11" s="83">
        <v>1.7361111111111112e-02</v>
      </c>
      <c r="K11" s="83">
        <f>(J11-I11)+(S11-R11)</f>
        <v>7.6388888888888886e-03</v>
      </c>
      <c r="L11" s="48"/>
      <c r="M11" s="48"/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833</v>
      </c>
      <c r="C12" s="83">
        <f>Sum(G12,K12)</f>
        <v>0</v>
      </c>
      <c r="D12" s="38">
        <v>0</v>
      </c>
      <c r="E12" s="83">
        <v>0</v>
      </c>
      <c r="F12" s="83">
        <v>0</v>
      </c>
      <c r="G12" s="83">
        <f>(F12-E12)+(Q12-P12)</f>
        <v>0</v>
      </c>
      <c r="H12" s="38">
        <v>0</v>
      </c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38">
        <v>0</v>
      </c>
      <c r="P12" s="48"/>
      <c r="Q12" s="48"/>
      <c r="R12" s="48"/>
      <c r="S12" s="48"/>
    </row>
    <row r="13">
      <c r="A13" s="81">
        <v>12</v>
      </c>
      <c r="B13" s="48" t="s">
        <v>834</v>
      </c>
      <c r="C13" s="83">
        <f>Sum(G13,K13)</f>
        <v>2.9166666666666667e-02</v>
      </c>
      <c r="D13" s="38">
        <v>1</v>
      </c>
      <c r="E13" s="83">
        <v>0</v>
      </c>
      <c r="F13" s="83">
        <v>1.5277777777777777e-02</v>
      </c>
      <c r="G13" s="83">
        <f>(F13-E13)+(Q13-P13)</f>
        <v>1.5277777777777777e-02</v>
      </c>
      <c r="H13" s="38">
        <v>1</v>
      </c>
      <c r="I13" s="83">
        <v>0</v>
      </c>
      <c r="J13" s="83">
        <v>1.3888888888888888e-02</v>
      </c>
      <c r="K13" s="83">
        <f>(J13-I13)+(S13-R13)</f>
        <v>1.3888888888888888e-02</v>
      </c>
      <c r="L13" s="48"/>
      <c r="M13" s="38">
        <v>1</v>
      </c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835</v>
      </c>
      <c r="C14" s="83">
        <f>Sum(G14,K14)</f>
        <v>0</v>
      </c>
      <c r="D14" s="38">
        <v>0</v>
      </c>
      <c r="E14" s="83">
        <v>0</v>
      </c>
      <c r="F14" s="83">
        <v>0</v>
      </c>
      <c r="G14" s="83">
        <f>(F14-E14)+(Q14-P14)</f>
        <v>0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0</v>
      </c>
      <c r="P14" s="48"/>
      <c r="Q14" s="48"/>
      <c r="R14" s="48"/>
      <c r="S14" s="48"/>
    </row>
    <row r="15">
      <c r="A15" s="81">
        <v>16</v>
      </c>
      <c r="B15" s="48" t="s">
        <v>836</v>
      </c>
      <c r="C15" s="83">
        <f>Sum(G15,K15)</f>
        <v>0</v>
      </c>
      <c r="D15" s="38">
        <v>0</v>
      </c>
      <c r="E15" s="83">
        <v>0</v>
      </c>
      <c r="F15" s="83">
        <v>0</v>
      </c>
      <c r="G15" s="83">
        <f>(F15-E15)+(Q15-P15)</f>
        <v>0</v>
      </c>
      <c r="H15" s="38">
        <v>0</v>
      </c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38">
        <v>0</v>
      </c>
      <c r="P15" s="48"/>
      <c r="Q15" s="48"/>
      <c r="R15" s="48"/>
      <c r="S15" s="48"/>
    </row>
    <row r="16">
      <c r="A16" s="81">
        <v>20</v>
      </c>
      <c r="B16" s="48" t="s">
        <v>837</v>
      </c>
      <c r="C16" s="83">
        <f>Sum(G16,K16)</f>
        <v>2.326388888888889e-02</v>
      </c>
      <c r="D16" s="38">
        <v>1</v>
      </c>
      <c r="E16" s="83">
        <v>0</v>
      </c>
      <c r="F16" s="83">
        <v>1.0763888888888889e-02</v>
      </c>
      <c r="G16" s="83">
        <f>(F16-E16)+(Q16-P16)</f>
        <v>1.2847222222222222e-02</v>
      </c>
      <c r="H16" s="38">
        <v>1</v>
      </c>
      <c r="I16" s="83">
        <v>0</v>
      </c>
      <c r="J16" s="83">
        <v>3.472222222222222e-03</v>
      </c>
      <c r="K16" s="83">
        <f>(J16-I16)+(S16-R16)</f>
        <v>1.0416666666666666e-02</v>
      </c>
      <c r="L16" s="38">
        <v>1</v>
      </c>
      <c r="M16" s="48"/>
      <c r="N16" s="72"/>
      <c r="O16" s="38">
        <v>1</v>
      </c>
      <c r="P16" s="83">
        <v>1.5277777777777777e-02</v>
      </c>
      <c r="Q16" s="83">
        <v>1.7361111111111112e-02</v>
      </c>
      <c r="R16" s="83">
        <v>1.0416666666666666e-02</v>
      </c>
      <c r="S16" s="83">
        <v>1.7361111111111112e-02</v>
      </c>
    </row>
    <row r="17">
      <c r="A17" s="81">
        <v>22</v>
      </c>
      <c r="B17" s="48" t="s">
        <v>838</v>
      </c>
      <c r="C17" s="83">
        <f>Sum(G17,K17)</f>
        <v>1.9444444444444445e-02</v>
      </c>
      <c r="D17" s="38">
        <v>1</v>
      </c>
      <c r="E17" s="83">
        <v>0</v>
      </c>
      <c r="F17" s="83">
        <v>9.7222222222222224e-03</v>
      </c>
      <c r="G17" s="83">
        <f>(F17-E17)+(Q17-P17)</f>
        <v>9.7222222222222224e-03</v>
      </c>
      <c r="H17" s="38">
        <v>1</v>
      </c>
      <c r="I17" s="83">
        <v>0</v>
      </c>
      <c r="J17" s="83">
        <v>9.7222222222222224e-03</v>
      </c>
      <c r="K17" s="83">
        <f>(J17-I17)+(S17-R17)</f>
        <v>9.7222222222222224e-03</v>
      </c>
      <c r="L17" s="48"/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839</v>
      </c>
      <c r="L18" s="91">
        <v>1</v>
      </c>
      <c r="M18" s="48"/>
      <c r="N18" s="38">
        <v>3</v>
      </c>
      <c r="O18" s="89">
        <v>1</v>
      </c>
      <c r="P18" s="72"/>
      <c r="S18" s="72"/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840</v>
      </c>
      <c r="B1" s="9" t="s">
        <v>841</v>
      </c>
      <c r="C1" s="9" t="s">
        <v>842</v>
      </c>
      <c r="D1" s="9" t="s">
        <v>843</v>
      </c>
      <c r="E1" s="9" t="s">
        <v>844</v>
      </c>
      <c r="F1" s="9" t="s">
        <v>845</v>
      </c>
      <c r="G1" s="9" t="s">
        <v>846</v>
      </c>
      <c r="H1" s="9" t="s">
        <v>847</v>
      </c>
      <c r="I1" s="9" t="s">
        <v>848</v>
      </c>
      <c r="J1" s="9" t="s">
        <v>849</v>
      </c>
      <c r="K1" s="9" t="s">
        <v>850</v>
      </c>
      <c r="L1" s="9" t="s">
        <v>851</v>
      </c>
      <c r="M1" s="9" t="s">
        <v>852</v>
      </c>
      <c r="N1" s="9" t="s">
        <v>853</v>
      </c>
      <c r="O1" s="9" t="s">
        <v>854</v>
      </c>
      <c r="P1" s="9" t="s">
        <v>855</v>
      </c>
      <c r="Q1" s="9" t="s">
        <v>856</v>
      </c>
      <c r="R1" s="9" t="s">
        <v>857</v>
      </c>
      <c r="S1" s="9" t="s">
        <v>858</v>
      </c>
    </row>
    <row r="2">
      <c r="A2" s="81">
        <v>1</v>
      </c>
      <c r="B2" s="48" t="s">
        <v>859</v>
      </c>
      <c r="C2" s="83">
        <f>Sum(G2,K2)</f>
        <v>1.8055555555555554e-02</v>
      </c>
      <c r="D2" s="38">
        <v>1</v>
      </c>
      <c r="E2" s="83">
        <v>0</v>
      </c>
      <c r="F2" s="83">
        <v>1.1111111111111112e-02</v>
      </c>
      <c r="G2" s="83">
        <f>(F2-E2)+(Q2-P2)</f>
        <v>1.1111111111111112e-02</v>
      </c>
      <c r="H2" s="38">
        <v>1</v>
      </c>
      <c r="I2" s="83">
        <v>0</v>
      </c>
      <c r="J2" s="83">
        <v>6.9444444444444441e-03</v>
      </c>
      <c r="K2" s="83">
        <f>(J2-I2)+(S2-R2)</f>
        <v>6.9444444444444441e-03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860</v>
      </c>
      <c r="C3" s="83">
        <f>Sum(G3,K3)</f>
        <v>1.5972222222222221e-02</v>
      </c>
      <c r="D3" s="38">
        <v>0</v>
      </c>
      <c r="E3" s="83">
        <v>9.7222222222222224e-03</v>
      </c>
      <c r="F3" s="83">
        <v>1.7361111111111112e-02</v>
      </c>
      <c r="G3" s="83">
        <f>(F3-E3)+(Q3-P3)</f>
        <v>7.6388888888888886e-03</v>
      </c>
      <c r="H3" s="38">
        <v>1</v>
      </c>
      <c r="I3" s="83">
        <v>0</v>
      </c>
      <c r="J3" s="83">
        <v>8.3333333333333332e-03</v>
      </c>
      <c r="K3" s="83">
        <f>(J3-I3)+(S3-R3)</f>
        <v>8.3333333333333332e-03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861</v>
      </c>
      <c r="C4" s="83">
        <f>Sum(G4,K4)</f>
        <v>2.1874999999999999e-02</v>
      </c>
      <c r="D4" s="38">
        <v>1</v>
      </c>
      <c r="E4" s="83">
        <v>0</v>
      </c>
      <c r="F4" s="83">
        <v>8.6805555555555559e-03</v>
      </c>
      <c r="G4" s="83">
        <f>(F4-E4)+(Q4-P4)</f>
        <v>8.6805555555555559e-03</v>
      </c>
      <c r="H4" s="38">
        <v>1</v>
      </c>
      <c r="I4" s="83">
        <v>0</v>
      </c>
      <c r="J4" s="83">
        <v>1.3194444444444444e-02</v>
      </c>
      <c r="K4" s="83">
        <f>(J4-I4)+(S4-R4)</f>
        <v>1.3194444444444444e-02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862</v>
      </c>
      <c r="C5" s="83">
        <f>Sum(G5,K5)</f>
        <v>1.7013888888888887e-02</v>
      </c>
      <c r="D5" s="38">
        <v>0</v>
      </c>
      <c r="E5" s="83">
        <v>8.6805555555555559e-03</v>
      </c>
      <c r="F5" s="83">
        <v>1.7361111111111112e-02</v>
      </c>
      <c r="G5" s="83">
        <f>(F5-E5)+(Q5-P5)</f>
        <v>8.6805555555555559e-03</v>
      </c>
      <c r="H5" s="38">
        <v>1</v>
      </c>
      <c r="I5" s="83">
        <v>0</v>
      </c>
      <c r="J5" s="83">
        <v>8.3333333333333332e-03</v>
      </c>
      <c r="K5" s="83">
        <f>(J5-I5)+(S5-R5)</f>
        <v>8.3333333333333332e-03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863</v>
      </c>
      <c r="C6" s="83">
        <f>Sum(G6,K6)</f>
        <v>2.326388888888889e-02</v>
      </c>
      <c r="D6" s="38">
        <v>1</v>
      </c>
      <c r="E6" s="83">
        <v>0</v>
      </c>
      <c r="F6" s="83">
        <v>9.7222222222222224e-03</v>
      </c>
      <c r="G6" s="83">
        <f>(F6-E6)+(Q6-P6)</f>
        <v>9.7222222222222224e-03</v>
      </c>
      <c r="H6" s="38">
        <v>1</v>
      </c>
      <c r="I6" s="83">
        <v>0</v>
      </c>
      <c r="J6" s="83">
        <v>1.3541666666666667e-02</v>
      </c>
      <c r="K6" s="83">
        <f>(J6-I6)+(S6-R6)</f>
        <v>1.3541666666666667e-02</v>
      </c>
      <c r="L6" s="38">
        <v>1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864</v>
      </c>
      <c r="C7" s="83">
        <f>Sum(G7,K7)</f>
        <v>0</v>
      </c>
      <c r="D7" s="38">
        <v>0</v>
      </c>
      <c r="E7" s="83">
        <v>0</v>
      </c>
      <c r="F7" s="83">
        <v>0</v>
      </c>
      <c r="G7" s="83">
        <f>(F7-E7)+(Q7-P7)</f>
        <v>0</v>
      </c>
      <c r="H7" s="38">
        <v>0</v>
      </c>
      <c r="I7" s="83">
        <v>0</v>
      </c>
      <c r="J7" s="83">
        <v>0</v>
      </c>
      <c r="K7" s="83">
        <f>(J7-I7)+(S7-R7)</f>
        <v>0</v>
      </c>
      <c r="L7" s="48"/>
      <c r="M7" s="48"/>
      <c r="N7" s="72"/>
      <c r="O7" s="38">
        <v>0</v>
      </c>
      <c r="P7" s="48"/>
      <c r="Q7" s="48"/>
      <c r="R7" s="48"/>
      <c r="S7" s="48"/>
    </row>
    <row r="8">
      <c r="A8" s="81">
        <v>7</v>
      </c>
      <c r="B8" s="48" t="s">
        <v>865</v>
      </c>
      <c r="C8" s="83">
        <f>Sum(G8,K8)</f>
        <v>1.8749999999999999e-02</v>
      </c>
      <c r="D8" s="38">
        <v>1</v>
      </c>
      <c r="E8" s="83">
        <v>0</v>
      </c>
      <c r="F8" s="83">
        <v>9.7222222222222224e-03</v>
      </c>
      <c r="G8" s="83">
        <f>(F8-E8)+(Q8-P8)</f>
        <v>9.7222222222222224e-03</v>
      </c>
      <c r="H8" s="38">
        <v>0</v>
      </c>
      <c r="I8" s="83">
        <v>8.3333333333333332e-03</v>
      </c>
      <c r="J8" s="83">
        <v>1.7361111111111112e-02</v>
      </c>
      <c r="K8" s="83">
        <f>(J8-I8)+(S8-R8)</f>
        <v>9.0277777777777769e-03</v>
      </c>
      <c r="L8" s="38">
        <v>1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866</v>
      </c>
      <c r="C9" s="83">
        <f>Sum(G9,K9)</f>
        <v>0</v>
      </c>
      <c r="D9" s="38">
        <v>0</v>
      </c>
      <c r="E9" s="83">
        <v>0</v>
      </c>
      <c r="F9" s="83">
        <v>0</v>
      </c>
      <c r="G9" s="83">
        <f>(F9-E9)+(Q9-P9)</f>
        <v>0</v>
      </c>
      <c r="H9" s="38">
        <v>0</v>
      </c>
      <c r="I9" s="83">
        <v>0</v>
      </c>
      <c r="J9" s="83">
        <v>0</v>
      </c>
      <c r="K9" s="83">
        <f>(J9-I9)+(S9-R9)</f>
        <v>0</v>
      </c>
      <c r="L9" s="48"/>
      <c r="M9" s="48"/>
      <c r="N9" s="72"/>
      <c r="O9" s="38">
        <v>0</v>
      </c>
      <c r="P9" s="48"/>
      <c r="Q9" s="48"/>
      <c r="R9" s="48"/>
      <c r="S9" s="48"/>
    </row>
    <row r="10">
      <c r="A10" s="81">
        <v>9</v>
      </c>
      <c r="B10" s="48" t="s">
        <v>867</v>
      </c>
      <c r="C10" s="83">
        <f>Sum(G10,K10)</f>
        <v>1.5625e-02</v>
      </c>
      <c r="D10" s="38">
        <v>1</v>
      </c>
      <c r="E10" s="83">
        <v>0</v>
      </c>
      <c r="F10" s="83">
        <v>8.6805555555555559e-03</v>
      </c>
      <c r="G10" s="83">
        <f>(F10-E10)+(Q10-P10)</f>
        <v>8.6805555555555559e-03</v>
      </c>
      <c r="H10" s="38">
        <v>1</v>
      </c>
      <c r="I10" s="83">
        <v>0</v>
      </c>
      <c r="J10" s="83">
        <v>6.9444444444444441e-03</v>
      </c>
      <c r="K10" s="83">
        <f>(J10-I10)+(S10-R10)</f>
        <v>6.9444444444444441e-03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868</v>
      </c>
      <c r="C11" s="83">
        <f>Sum(G11,K11)</f>
        <v>1.9097222222222224e-02</v>
      </c>
      <c r="D11" s="38">
        <v>0</v>
      </c>
      <c r="E11" s="83">
        <v>8.6805555555555559e-03</v>
      </c>
      <c r="F11" s="83">
        <v>1.7361111111111112e-02</v>
      </c>
      <c r="G11" s="83">
        <f>(F11-E11)+(Q11-P11)</f>
        <v>8.6805555555555559e-03</v>
      </c>
      <c r="H11" s="38">
        <v>0</v>
      </c>
      <c r="I11" s="83">
        <v>6.9444444444444441e-03</v>
      </c>
      <c r="J11" s="83">
        <v>1.7361111111111112e-02</v>
      </c>
      <c r="K11" s="83">
        <f>(J11-I11)+(S11-R11)</f>
        <v>1.0416666666666666e-02</v>
      </c>
      <c r="L11" s="48"/>
      <c r="M11" s="48"/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869</v>
      </c>
      <c r="C12" s="83">
        <f>Sum(G12,K12)</f>
        <v>1.6666666666666666e-02</v>
      </c>
      <c r="D12" s="38">
        <v>0</v>
      </c>
      <c r="E12" s="83">
        <v>1.1111111111111112e-02</v>
      </c>
      <c r="F12" s="83">
        <v>1.7361111111111112e-02</v>
      </c>
      <c r="G12" s="83">
        <f>(F12-E12)+(Q12-P12)</f>
        <v>6.2500000000000003e-03</v>
      </c>
      <c r="H12" s="38">
        <v>0</v>
      </c>
      <c r="I12" s="83">
        <v>6.9444444444444441e-03</v>
      </c>
      <c r="J12" s="83">
        <v>1.7361111111111112e-02</v>
      </c>
      <c r="K12" s="83">
        <f>(J12-I12)+(S12-R12)</f>
        <v>1.0416666666666666e-02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870</v>
      </c>
      <c r="C13" s="83">
        <f>Sum(G13,K13)</f>
        <v>2.6388888888888889e-02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0</v>
      </c>
      <c r="I13" s="83">
        <v>8.3333333333333332e-03</v>
      </c>
      <c r="J13" s="83">
        <v>1.7361111111111112e-02</v>
      </c>
      <c r="K13" s="83">
        <f>(J13-I13)+(S13-R13)</f>
        <v>9.0277777777777769e-03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871</v>
      </c>
      <c r="C14" s="83">
        <f>Sum(G14,K14)</f>
        <v>1.3541666666666667e-02</v>
      </c>
      <c r="D14" s="38">
        <v>0</v>
      </c>
      <c r="E14" s="83">
        <v>1.4236111111111111e-02</v>
      </c>
      <c r="F14" s="83">
        <v>1.7361111111111112e-02</v>
      </c>
      <c r="G14" s="83">
        <f>(F14-E14)+(Q14-P14)</f>
        <v>3.1250000000000002e-03</v>
      </c>
      <c r="H14" s="38">
        <v>0</v>
      </c>
      <c r="I14" s="83">
        <v>6.9444444444444441e-03</v>
      </c>
      <c r="J14" s="83">
        <v>1.7361111111111112e-02</v>
      </c>
      <c r="K14" s="83">
        <f>(J14-I14)+(S14-R14)</f>
        <v>1.0416666666666666e-02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872</v>
      </c>
      <c r="C15" s="83">
        <f>Sum(G15,K15)</f>
        <v>1.6666666666666666e-02</v>
      </c>
      <c r="D15" s="38">
        <v>0</v>
      </c>
      <c r="E15" s="83">
        <v>9.7222222222222224e-03</v>
      </c>
      <c r="F15" s="83">
        <v>1.7361111111111112e-02</v>
      </c>
      <c r="G15" s="83">
        <f>(F15-E15)+(Q15-P15)</f>
        <v>7.6388888888888886e-03</v>
      </c>
      <c r="H15" s="38">
        <v>0</v>
      </c>
      <c r="I15" s="83">
        <v>8.3333333333333332e-03</v>
      </c>
      <c r="J15" s="83">
        <v>1.7361111111111112e-02</v>
      </c>
      <c r="K15" s="83">
        <f>(J15-I15)+(S15-R15)</f>
        <v>9.0277777777777769e-03</v>
      </c>
      <c r="L15" s="38">
        <v>1</v>
      </c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873</v>
      </c>
      <c r="C16" s="83">
        <f>Sum(G16,K16)</f>
        <v>2.9861111111111113e-02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8.3333333333333332e-03</v>
      </c>
      <c r="K16" s="83">
        <f>(J16-I16)+(S16-R16)</f>
        <v>1.2500000000000001e-02</v>
      </c>
      <c r="L16" s="48"/>
      <c r="M16" s="38">
        <v>1</v>
      </c>
      <c r="N16" s="72"/>
      <c r="O16" s="38">
        <v>1</v>
      </c>
      <c r="P16" s="48"/>
      <c r="Q16" s="48"/>
      <c r="R16" s="83">
        <v>1.3194444444444444e-02</v>
      </c>
      <c r="S16" s="83">
        <v>1.7361111111111112e-02</v>
      </c>
    </row>
    <row r="17">
      <c r="A17" s="81">
        <v>22</v>
      </c>
      <c r="B17" s="48" t="s">
        <v>874</v>
      </c>
      <c r="C17" s="83">
        <f>Sum(G17,K17)</f>
        <v>1.9444444444444445e-02</v>
      </c>
      <c r="D17" s="38">
        <v>1</v>
      </c>
      <c r="E17" s="83">
        <v>0</v>
      </c>
      <c r="F17" s="83">
        <v>8.6805555555555559e-03</v>
      </c>
      <c r="G17" s="83">
        <f>(F17-E17)+(Q17-P17)</f>
        <v>8.6805555555555559e-03</v>
      </c>
      <c r="H17" s="38">
        <v>1</v>
      </c>
      <c r="I17" s="83">
        <v>0</v>
      </c>
      <c r="J17" s="83">
        <v>6.9444444444444441e-03</v>
      </c>
      <c r="K17" s="83">
        <f>(J17-I17)+(S17-R17)</f>
        <v>1.0763888888888889e-02</v>
      </c>
      <c r="L17" s="38">
        <v>2</v>
      </c>
      <c r="M17" s="38">
        <v>1</v>
      </c>
      <c r="N17" s="72"/>
      <c r="O17" s="38">
        <v>1</v>
      </c>
      <c r="P17" s="48"/>
      <c r="Q17" s="48"/>
      <c r="R17" s="83">
        <v>1.3541666666666667e-02</v>
      </c>
      <c r="S17" s="83">
        <v>1.7361111111111112e-02</v>
      </c>
    </row>
    <row r="18">
      <c r="A18" s="27"/>
      <c r="B18" s="48"/>
      <c r="C18" s="72"/>
      <c r="K18" s="87" t="s">
        <v>875</v>
      </c>
      <c r="L18" s="91">
        <v>1</v>
      </c>
      <c r="M18" s="48"/>
      <c r="N18" s="38">
        <v>2</v>
      </c>
      <c r="O18" s="89">
        <v>1</v>
      </c>
      <c r="P18" s="72"/>
      <c r="S18" s="72"/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876</v>
      </c>
      <c r="B1" s="9" t="s">
        <v>877</v>
      </c>
      <c r="C1" s="9" t="s">
        <v>878</v>
      </c>
      <c r="D1" s="9" t="s">
        <v>879</v>
      </c>
      <c r="E1" s="9" t="s">
        <v>880</v>
      </c>
      <c r="F1" s="9" t="s">
        <v>881</v>
      </c>
      <c r="G1" s="9" t="s">
        <v>882</v>
      </c>
      <c r="H1" s="9" t="s">
        <v>883</v>
      </c>
      <c r="I1" s="9" t="s">
        <v>884</v>
      </c>
      <c r="J1" s="9" t="s">
        <v>885</v>
      </c>
      <c r="K1" s="9" t="s">
        <v>886</v>
      </c>
      <c r="L1" s="9" t="s">
        <v>887</v>
      </c>
      <c r="M1" s="9" t="s">
        <v>888</v>
      </c>
      <c r="N1" s="9" t="s">
        <v>889</v>
      </c>
      <c r="O1" s="9" t="s">
        <v>890</v>
      </c>
      <c r="P1" s="9" t="s">
        <v>891</v>
      </c>
      <c r="Q1" s="9" t="s">
        <v>892</v>
      </c>
      <c r="R1" s="9" t="s">
        <v>893</v>
      </c>
      <c r="S1" s="9" t="s">
        <v>894</v>
      </c>
    </row>
    <row r="2">
      <c r="A2" s="81">
        <v>1</v>
      </c>
      <c r="B2" s="48" t="s">
        <v>895</v>
      </c>
      <c r="C2" s="83">
        <f>Sum(G2,K2)</f>
        <v>2.4305555555555556e-02</v>
      </c>
      <c r="D2" s="38">
        <v>1</v>
      </c>
      <c r="E2" s="83">
        <v>0</v>
      </c>
      <c r="F2" s="83">
        <v>1.2500000000000001e-02</v>
      </c>
      <c r="G2" s="83">
        <f>(F2-E2)+(Q2-P2)</f>
        <v>1.2500000000000001e-02</v>
      </c>
      <c r="H2" s="38">
        <v>1</v>
      </c>
      <c r="I2" s="83">
        <v>0</v>
      </c>
      <c r="J2" s="83">
        <v>1.1805555555555555e-02</v>
      </c>
      <c r="K2" s="83">
        <f>(J2-I2)+(S2-R2)</f>
        <v>1.1805555555555555e-02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896</v>
      </c>
      <c r="C3" s="83">
        <f>Sum(G3,K3)</f>
        <v>1.4236111111111111e-02</v>
      </c>
      <c r="D3" s="38">
        <v>0</v>
      </c>
      <c r="E3" s="83">
        <v>1.1111111111111112e-02</v>
      </c>
      <c r="F3" s="83">
        <v>1.7361111111111112e-02</v>
      </c>
      <c r="G3" s="83">
        <f>(F3-E3)+(Q3-P3)</f>
        <v>6.2500000000000003e-03</v>
      </c>
      <c r="H3" s="38">
        <v>0</v>
      </c>
      <c r="I3" s="83">
        <v>5.5555555555555558e-03</v>
      </c>
      <c r="J3" s="83">
        <v>1.3541666666666667e-02</v>
      </c>
      <c r="K3" s="83">
        <f>(J3-I3)+(S3-R3)</f>
        <v>7.9861111111111105e-03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897</v>
      </c>
      <c r="C4" s="83">
        <f>Sum(G4,K4)</f>
        <v>2.1527777777777778e-02</v>
      </c>
      <c r="D4" s="38">
        <v>1</v>
      </c>
      <c r="E4" s="83">
        <v>0</v>
      </c>
      <c r="F4" s="83">
        <v>1.2500000000000001e-02</v>
      </c>
      <c r="G4" s="83">
        <f>(F4-E4)+(Q4-P4)</f>
        <v>1.2500000000000001e-02</v>
      </c>
      <c r="H4" s="38">
        <v>1</v>
      </c>
      <c r="I4" s="83">
        <v>0</v>
      </c>
      <c r="J4" s="83">
        <v>6.9444444444444441e-03</v>
      </c>
      <c r="K4" s="83">
        <f>(J4-I4)+(S4-R4)</f>
        <v>9.0277777777777769e-03</v>
      </c>
      <c r="L4" s="48"/>
      <c r="M4" s="48"/>
      <c r="N4" s="72"/>
      <c r="O4" s="38">
        <v>1</v>
      </c>
      <c r="P4" s="48"/>
      <c r="Q4" s="48"/>
      <c r="R4" s="83">
        <v>1.5277777777777777e-02</v>
      </c>
      <c r="S4" s="83">
        <v>1.7361111111111112e-02</v>
      </c>
    </row>
    <row r="5">
      <c r="A5" s="81">
        <v>4</v>
      </c>
      <c r="B5" s="48" t="s">
        <v>898</v>
      </c>
      <c r="C5" s="83">
        <f>Sum(G5,K5)</f>
        <v>1.4583333333333334e-02</v>
      </c>
      <c r="D5" s="38">
        <v>0</v>
      </c>
      <c r="E5" s="83">
        <v>1.1111111111111112e-02</v>
      </c>
      <c r="F5" s="83">
        <v>1.7361111111111112e-02</v>
      </c>
      <c r="G5" s="83">
        <f>(F5-E5)+(Q5-P5)</f>
        <v>6.2500000000000003e-03</v>
      </c>
      <c r="H5" s="38">
        <v>0</v>
      </c>
      <c r="I5" s="83">
        <v>6.9444444444444441e-03</v>
      </c>
      <c r="J5" s="83">
        <v>1.5277777777777777e-02</v>
      </c>
      <c r="K5" s="83">
        <f>(J5-I5)+(S5-R5)</f>
        <v>8.3333333333333332e-03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899</v>
      </c>
      <c r="C6" s="83">
        <f>Sum(G6,K6)</f>
        <v>2.7430555555555555e-02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1.0069444444444445e-02</v>
      </c>
      <c r="K6" s="83">
        <f>(J6-I6)+(S6-R6)</f>
        <v>1.0069444444444445e-02</v>
      </c>
      <c r="L6" s="38">
        <v>2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900</v>
      </c>
      <c r="C7" s="83">
        <f>Sum(G7,K7)</f>
        <v>1.8402777777777778e-02</v>
      </c>
      <c r="D7" s="38">
        <v>0</v>
      </c>
      <c r="E7" s="83">
        <v>9.7222222222222224e-03</v>
      </c>
      <c r="F7" s="83">
        <v>1.7361111111111112e-02</v>
      </c>
      <c r="G7" s="83">
        <f>(F7-E7)+(Q7-P7)</f>
        <v>7.6388888888888886e-03</v>
      </c>
      <c r="H7" s="38">
        <v>1</v>
      </c>
      <c r="I7" s="83">
        <v>0</v>
      </c>
      <c r="J7" s="83">
        <v>6.9444444444444441e-03</v>
      </c>
      <c r="K7" s="83">
        <f>(J7-I7)+(S7-R7)</f>
        <v>1.0763888888888889e-02</v>
      </c>
      <c r="L7" s="48"/>
      <c r="M7" s="48"/>
      <c r="N7" s="72"/>
      <c r="O7" s="38">
        <v>1</v>
      </c>
      <c r="P7" s="48"/>
      <c r="Q7" s="48"/>
      <c r="R7" s="83">
        <v>1.3541666666666667e-02</v>
      </c>
      <c r="S7" s="83">
        <v>1.7361111111111112e-02</v>
      </c>
    </row>
    <row r="8">
      <c r="A8" s="81">
        <v>7</v>
      </c>
      <c r="B8" s="48" t="s">
        <v>901</v>
      </c>
      <c r="C8" s="83">
        <f>Sum(G8,K8)</f>
        <v>1.7708333333333333e-02</v>
      </c>
      <c r="D8" s="38">
        <v>1</v>
      </c>
      <c r="E8" s="83">
        <v>0</v>
      </c>
      <c r="F8" s="83">
        <v>9.7222222222222224e-03</v>
      </c>
      <c r="G8" s="83">
        <f>(F8-E8)+(Q8-P8)</f>
        <v>9.7222222222222224e-03</v>
      </c>
      <c r="H8" s="38">
        <v>0</v>
      </c>
      <c r="I8" s="83">
        <v>5.5555555555555558e-03</v>
      </c>
      <c r="J8" s="83">
        <v>1.3541666666666667e-02</v>
      </c>
      <c r="K8" s="83">
        <f>(J8-I8)+(S8-R8)</f>
        <v>7.9861111111111105e-03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902</v>
      </c>
      <c r="C9" s="83">
        <f>Sum(G9,K9)</f>
        <v>1.9097222222222224e-02</v>
      </c>
      <c r="D9" s="38">
        <v>1</v>
      </c>
      <c r="E9" s="83">
        <v>0</v>
      </c>
      <c r="F9" s="83">
        <v>9.7222222222222224e-03</v>
      </c>
      <c r="G9" s="83">
        <f>(F9-E9)+(Q9-P9)</f>
        <v>9.7222222222222224e-03</v>
      </c>
      <c r="H9" s="38">
        <v>1</v>
      </c>
      <c r="I9" s="83">
        <v>0</v>
      </c>
      <c r="J9" s="83">
        <v>5.5555555555555558e-03</v>
      </c>
      <c r="K9" s="83">
        <f>(J9-I9)+(S9-R9)</f>
        <v>9.3749999999999997e-03</v>
      </c>
      <c r="L9" s="38">
        <v>1</v>
      </c>
      <c r="M9" s="48"/>
      <c r="N9" s="72"/>
      <c r="O9" s="38">
        <v>1</v>
      </c>
      <c r="P9" s="48"/>
      <c r="Q9" s="48"/>
      <c r="R9" s="83">
        <v>1.3541666666666667e-02</v>
      </c>
      <c r="S9" s="83">
        <v>1.7361111111111112e-02</v>
      </c>
    </row>
    <row r="10">
      <c r="A10" s="81">
        <v>9</v>
      </c>
      <c r="B10" s="48" t="s">
        <v>903</v>
      </c>
      <c r="C10" s="83">
        <f>Sum(G10,K10)</f>
        <v>2.013888888888889e-02</v>
      </c>
      <c r="D10" s="38">
        <v>1</v>
      </c>
      <c r="E10" s="83">
        <v>0</v>
      </c>
      <c r="F10" s="83">
        <v>9.7222222222222224e-03</v>
      </c>
      <c r="G10" s="83">
        <f>(F10-E10)+(Q10-P10)</f>
        <v>9.7222222222222224e-03</v>
      </c>
      <c r="H10" s="38">
        <v>0</v>
      </c>
      <c r="I10" s="83">
        <v>6.9444444444444441e-03</v>
      </c>
      <c r="J10" s="83">
        <v>1.7361111111111112e-02</v>
      </c>
      <c r="K10" s="83">
        <f>(J10-I10)+(S10-R10)</f>
        <v>1.0416666666666666e-02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904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905</v>
      </c>
      <c r="C12" s="83">
        <f>Sum(G12,K12)</f>
        <v>1.0416666666666666e-02</v>
      </c>
      <c r="D12" s="38">
        <v>0</v>
      </c>
      <c r="E12" s="83">
        <v>1.2500000000000001e-02</v>
      </c>
      <c r="F12" s="83">
        <v>1.7361111111111112e-02</v>
      </c>
      <c r="G12" s="83">
        <f>(F12-E12)+(Q12-P12)</f>
        <v>4.8611111111111112e-03</v>
      </c>
      <c r="H12" s="38">
        <v>0</v>
      </c>
      <c r="I12" s="83">
        <v>1.1805555555555555e-02</v>
      </c>
      <c r="J12" s="83">
        <v>1.7361111111111112e-02</v>
      </c>
      <c r="K12" s="83">
        <f>(J12-I12)+(S12-R12)</f>
        <v>5.5555555555555558e-03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906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907</v>
      </c>
      <c r="C14" s="83">
        <f>Sum(G14,K14)</f>
        <v>1.7361111111111112e-02</v>
      </c>
      <c r="D14" s="38">
        <v>0</v>
      </c>
      <c r="E14" s="83">
        <v>9.7222222222222224e-03</v>
      </c>
      <c r="F14" s="83">
        <v>1.7361111111111112e-02</v>
      </c>
      <c r="G14" s="83">
        <f>(F14-E14)+(Q14-P14)</f>
        <v>7.6388888888888886e-03</v>
      </c>
      <c r="H14" s="38">
        <v>1</v>
      </c>
      <c r="I14" s="83">
        <v>0</v>
      </c>
      <c r="J14" s="83">
        <v>4.1666666666666666e-03</v>
      </c>
      <c r="K14" s="83">
        <f>(J14-I14)+(S14-R14)</f>
        <v>9.7222222222222224e-03</v>
      </c>
      <c r="L14" s="48"/>
      <c r="M14" s="48"/>
      <c r="N14" s="72"/>
      <c r="O14" s="38">
        <v>1</v>
      </c>
      <c r="P14" s="48"/>
      <c r="Q14" s="48"/>
      <c r="R14" s="83">
        <v>1.1805555555555555e-02</v>
      </c>
      <c r="S14" s="83">
        <v>1.7361111111111112e-02</v>
      </c>
    </row>
    <row r="15">
      <c r="A15" s="81">
        <v>16</v>
      </c>
      <c r="B15" s="48" t="s">
        <v>908</v>
      </c>
      <c r="C15" s="83">
        <f>Sum(G15,K15)</f>
        <v>1.2500000000000001e-02</v>
      </c>
      <c r="D15" s="38">
        <v>0</v>
      </c>
      <c r="E15" s="83">
        <v>1.2500000000000001e-02</v>
      </c>
      <c r="F15" s="83">
        <v>1.7361111111111112e-02</v>
      </c>
      <c r="G15" s="83">
        <f>(F15-E15)+(Q15-P15)</f>
        <v>4.8611111111111112e-03</v>
      </c>
      <c r="H15" s="38">
        <v>0</v>
      </c>
      <c r="I15" s="83">
        <v>4.1666666666666666e-03</v>
      </c>
      <c r="J15" s="83">
        <v>1.1805555555555555e-02</v>
      </c>
      <c r="K15" s="83">
        <f>(J15-I15)+(S15-R15)</f>
        <v>7.6388888888888886e-03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909</v>
      </c>
      <c r="C16" s="83">
        <f>Sum(G16,K16)</f>
        <v>0</v>
      </c>
      <c r="D16" s="38">
        <v>0</v>
      </c>
      <c r="E16" s="83">
        <v>0</v>
      </c>
      <c r="F16" s="83">
        <v>0</v>
      </c>
      <c r="G16" s="83">
        <f>(F16-E16)+(Q16-P16)</f>
        <v>0</v>
      </c>
      <c r="H16" s="38">
        <v>0</v>
      </c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38">
        <v>0</v>
      </c>
      <c r="P16" s="48"/>
      <c r="Q16" s="48"/>
      <c r="R16" s="48"/>
      <c r="S16" s="48"/>
    </row>
    <row r="17">
      <c r="A17" s="81">
        <v>22</v>
      </c>
      <c r="B17" s="48" t="s">
        <v>910</v>
      </c>
      <c r="C17" s="83">
        <f>Sum(G17,K17)</f>
        <v>2.0486111111111111e-02</v>
      </c>
      <c r="D17" s="38">
        <v>0</v>
      </c>
      <c r="E17" s="83">
        <v>9.7222222222222224e-03</v>
      </c>
      <c r="F17" s="83">
        <v>1.7361111111111112e-02</v>
      </c>
      <c r="G17" s="83">
        <f>(F17-E17)+(Q17-P17)</f>
        <v>7.6388888888888886e-03</v>
      </c>
      <c r="H17" s="38">
        <v>1</v>
      </c>
      <c r="I17" s="83">
        <v>0</v>
      </c>
      <c r="J17" s="83">
        <v>5.5555555555555558e-03</v>
      </c>
      <c r="K17" s="83">
        <f>(J17-I17)+(S17-R17)</f>
        <v>1.2847222222222222e-02</v>
      </c>
      <c r="L17" s="38">
        <v>1</v>
      </c>
      <c r="M17" s="38">
        <v>1</v>
      </c>
      <c r="N17" s="72"/>
      <c r="O17" s="38">
        <v>1</v>
      </c>
      <c r="P17" s="48"/>
      <c r="Q17" s="48"/>
      <c r="R17" s="83">
        <v>1.0069444444444445e-02</v>
      </c>
      <c r="S17" s="83">
        <v>1.7361111111111112e-02</v>
      </c>
    </row>
    <row r="18">
      <c r="A18" s="27"/>
      <c r="B18" s="48"/>
      <c r="C18" s="72"/>
      <c r="G18" s="92" t="s">
        <v>911</v>
      </c>
      <c r="H18" s="93">
        <v>1</v>
      </c>
      <c r="I18" s="94" t="s">
        <v>912</v>
      </c>
      <c r="J18" s="93">
        <v>1</v>
      </c>
      <c r="K18" s="87" t="s">
        <v>913</v>
      </c>
      <c r="L18" s="91">
        <v>1</v>
      </c>
      <c r="M18" s="48"/>
      <c r="N18" s="38">
        <v>2</v>
      </c>
      <c r="O18" s="89">
        <v>1</v>
      </c>
      <c r="P18" s="72"/>
      <c r="S18" s="72"/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914</v>
      </c>
      <c r="B1" s="9" t="s">
        <v>915</v>
      </c>
      <c r="C1" s="9" t="s">
        <v>916</v>
      </c>
      <c r="D1" s="9" t="s">
        <v>917</v>
      </c>
      <c r="E1" s="9" t="s">
        <v>918</v>
      </c>
      <c r="F1" s="9" t="s">
        <v>919</v>
      </c>
      <c r="G1" s="9" t="s">
        <v>920</v>
      </c>
      <c r="H1" s="9" t="s">
        <v>921</v>
      </c>
      <c r="I1" s="9" t="s">
        <v>922</v>
      </c>
      <c r="J1" s="9" t="s">
        <v>923</v>
      </c>
      <c r="K1" s="9" t="s">
        <v>924</v>
      </c>
      <c r="L1" s="9" t="s">
        <v>925</v>
      </c>
      <c r="M1" s="9" t="s">
        <v>926</v>
      </c>
      <c r="N1" s="9" t="s">
        <v>927</v>
      </c>
      <c r="O1" s="9" t="s">
        <v>928</v>
      </c>
      <c r="P1" s="9" t="s">
        <v>929</v>
      </c>
      <c r="Q1" s="9" t="s">
        <v>930</v>
      </c>
      <c r="R1" s="9" t="s">
        <v>931</v>
      </c>
      <c r="S1" s="9" t="s">
        <v>932</v>
      </c>
    </row>
    <row r="2">
      <c r="A2" s="81">
        <v>1</v>
      </c>
      <c r="B2" s="48" t="s">
        <v>933</v>
      </c>
      <c r="C2" s="83">
        <f>Sum(G2,K2)</f>
        <v>1.9444444444444445e-02</v>
      </c>
      <c r="D2" s="38">
        <v>1</v>
      </c>
      <c r="E2" s="83">
        <v>0</v>
      </c>
      <c r="F2" s="83">
        <v>9.0277777777777769e-03</v>
      </c>
      <c r="G2" s="83">
        <f>(F2-E2)+(Q2-P2)</f>
        <v>9.0277777777777769e-03</v>
      </c>
      <c r="H2" s="38">
        <v>1</v>
      </c>
      <c r="I2" s="83">
        <v>0</v>
      </c>
      <c r="J2" s="83">
        <v>1.0416666666666666e-02</v>
      </c>
      <c r="K2" s="83">
        <f>(J2-I2)+(S2-R2)</f>
        <v>1.0416666666666666e-02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934</v>
      </c>
      <c r="C3" s="83">
        <f>Sum(G3,K3)</f>
        <v>0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0</v>
      </c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38">
        <v>0</v>
      </c>
      <c r="P3" s="48"/>
      <c r="Q3" s="48"/>
      <c r="R3" s="48"/>
      <c r="S3" s="48"/>
    </row>
    <row r="4">
      <c r="A4" s="81">
        <v>3</v>
      </c>
      <c r="B4" s="48" t="s">
        <v>935</v>
      </c>
      <c r="C4" s="83">
        <f>Sum(G4,K4)</f>
        <v>1.8402777777777778e-02</v>
      </c>
      <c r="D4" s="38">
        <v>0</v>
      </c>
      <c r="E4" s="83">
        <v>9.3749999999999997e-03</v>
      </c>
      <c r="F4" s="83">
        <v>1.7361111111111112e-02</v>
      </c>
      <c r="G4" s="83">
        <f>(F4-E4)+(Q4-P4)</f>
        <v>7.9861111111111105e-03</v>
      </c>
      <c r="H4" s="38">
        <v>0</v>
      </c>
      <c r="I4" s="83">
        <v>6.9444444444444441e-03</v>
      </c>
      <c r="J4" s="83">
        <v>1.7361111111111112e-02</v>
      </c>
      <c r="K4" s="83">
        <f>(J4-I4)+(S4-R4)</f>
        <v>1.0416666666666666e-02</v>
      </c>
      <c r="L4" s="38">
        <v>1</v>
      </c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936</v>
      </c>
      <c r="C5" s="83">
        <f>Sum(G5,K5)</f>
        <v>0</v>
      </c>
      <c r="D5" s="38">
        <v>0</v>
      </c>
      <c r="E5" s="83">
        <v>0</v>
      </c>
      <c r="F5" s="83">
        <v>0</v>
      </c>
      <c r="G5" s="83">
        <f>(F5-E5)+(Q5-P5)</f>
        <v>0</v>
      </c>
      <c r="H5" s="38">
        <v>0</v>
      </c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38">
        <v>0</v>
      </c>
      <c r="P5" s="48"/>
      <c r="Q5" s="48"/>
      <c r="R5" s="48"/>
      <c r="S5" s="48"/>
    </row>
    <row r="6">
      <c r="A6" s="81">
        <v>5</v>
      </c>
      <c r="B6" s="48" t="s">
        <v>937</v>
      </c>
      <c r="C6" s="83">
        <f>Sum(G6,K6)</f>
        <v>3.125e-02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1.3888888888888888e-02</v>
      </c>
      <c r="K6" s="83">
        <f>(J6-I6)+(S6-R6)</f>
        <v>1.3888888888888888e-02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938</v>
      </c>
      <c r="C7" s="83">
        <f>Sum(G7,K7)</f>
        <v>1.9097222222222224e-02</v>
      </c>
      <c r="D7" s="38">
        <v>0</v>
      </c>
      <c r="E7" s="83">
        <v>8.6805555555555559e-03</v>
      </c>
      <c r="F7" s="83">
        <v>1.7361111111111112e-02</v>
      </c>
      <c r="G7" s="83">
        <f>(F7-E7)+(Q7-P7)</f>
        <v>8.6805555555555559e-03</v>
      </c>
      <c r="H7" s="38">
        <v>0</v>
      </c>
      <c r="I7" s="83">
        <v>6.9444444444444441e-03</v>
      </c>
      <c r="J7" s="83">
        <v>1.7361111111111112e-02</v>
      </c>
      <c r="K7" s="83">
        <f>(J7-I7)+(S7-R7)</f>
        <v>1.0416666666666666e-02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939</v>
      </c>
      <c r="C8" s="83">
        <f>Sum(G8,K8)</f>
        <v>1.7708333333333333e-02</v>
      </c>
      <c r="D8" s="38">
        <v>0</v>
      </c>
      <c r="E8" s="83">
        <v>8.6805555555555559e-03</v>
      </c>
      <c r="F8" s="83">
        <v>1.7361111111111112e-02</v>
      </c>
      <c r="G8" s="83">
        <f>(F8-E8)+(Q8-P8)</f>
        <v>8.6805555555555559e-03</v>
      </c>
      <c r="H8" s="38">
        <v>0</v>
      </c>
      <c r="I8" s="83">
        <v>4.8611111111111112e-03</v>
      </c>
      <c r="J8" s="83">
        <v>1.3888888888888888e-02</v>
      </c>
      <c r="K8" s="83">
        <f>(J8-I8)+(S8-R8)</f>
        <v>9.0277777777777769e-03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940</v>
      </c>
      <c r="C9" s="83">
        <f>Sum(G9,K9)</f>
        <v>1.7013888888888887e-02</v>
      </c>
      <c r="D9" s="38">
        <v>1</v>
      </c>
      <c r="E9" s="83">
        <v>0</v>
      </c>
      <c r="F9" s="83">
        <v>8.6805555555555559e-03</v>
      </c>
      <c r="G9" s="83">
        <f>(F9-E9)+(Q9-P9)</f>
        <v>8.6805555555555559e-03</v>
      </c>
      <c r="H9" s="38">
        <v>1</v>
      </c>
      <c r="I9" s="83">
        <v>0</v>
      </c>
      <c r="J9" s="83">
        <v>4.8611111111111112e-03</v>
      </c>
      <c r="K9" s="83">
        <f>(J9-I9)+(S9-R9)</f>
        <v>8.3333333333333332e-03</v>
      </c>
      <c r="L9" s="38">
        <v>2</v>
      </c>
      <c r="M9" s="48"/>
      <c r="N9" s="72"/>
      <c r="O9" s="38">
        <v>1</v>
      </c>
      <c r="P9" s="48"/>
      <c r="Q9" s="48"/>
      <c r="R9" s="83">
        <v>1.3888888888888888e-02</v>
      </c>
      <c r="S9" s="83">
        <v>1.7361111111111112e-02</v>
      </c>
    </row>
    <row r="10">
      <c r="A10" s="81">
        <v>9</v>
      </c>
      <c r="B10" s="48" t="s">
        <v>941</v>
      </c>
      <c r="C10" s="83">
        <f>Sum(G10,K10)</f>
        <v>2.2569444444444444e-02</v>
      </c>
      <c r="D10" s="38">
        <v>1</v>
      </c>
      <c r="E10" s="83">
        <v>0</v>
      </c>
      <c r="F10" s="83">
        <v>8.6805555555555559e-03</v>
      </c>
      <c r="G10" s="83">
        <f>(F10-E10)+(Q10-P10)</f>
        <v>8.6805555555555559e-03</v>
      </c>
      <c r="H10" s="38">
        <v>1</v>
      </c>
      <c r="I10" s="83">
        <v>0</v>
      </c>
      <c r="J10" s="83">
        <v>1.0416666666666666e-02</v>
      </c>
      <c r="K10" s="83">
        <f>(J10-I10)+(S10-R10)</f>
        <v>1.3888888888888888e-02</v>
      </c>
      <c r="L10" s="48"/>
      <c r="M10" s="48"/>
      <c r="N10" s="72"/>
      <c r="O10" s="38">
        <v>1</v>
      </c>
      <c r="P10" s="48"/>
      <c r="Q10" s="48"/>
      <c r="R10" s="83">
        <v>1.3888888888888888e-02</v>
      </c>
      <c r="S10" s="83">
        <v>1.7361111111111112e-02</v>
      </c>
    </row>
    <row r="11">
      <c r="A11" s="81">
        <v>10</v>
      </c>
      <c r="B11" s="48" t="s">
        <v>942</v>
      </c>
      <c r="C11" s="83">
        <f>Sum(G11,K11)</f>
        <v>1.7708333333333333e-02</v>
      </c>
      <c r="D11" s="38">
        <v>0</v>
      </c>
      <c r="E11" s="83">
        <v>8.6805555555555559e-03</v>
      </c>
      <c r="F11" s="83">
        <v>1.7361111111111112e-02</v>
      </c>
      <c r="G11" s="83">
        <f>(F11-E11)+(Q11-P11)</f>
        <v>8.6805555555555559e-03</v>
      </c>
      <c r="H11" s="38">
        <v>0</v>
      </c>
      <c r="I11" s="83">
        <v>4.8611111111111112e-03</v>
      </c>
      <c r="J11" s="83">
        <v>1.3888888888888888e-02</v>
      </c>
      <c r="K11" s="83">
        <f>(J11-I11)+(S11-R11)</f>
        <v>9.0277777777777769e-03</v>
      </c>
      <c r="L11" s="48"/>
      <c r="M11" s="48"/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943</v>
      </c>
      <c r="C12" s="83">
        <f>Sum(G12,K12)</f>
        <v>1.5277777777777777e-02</v>
      </c>
      <c r="D12" s="38">
        <v>0</v>
      </c>
      <c r="E12" s="83">
        <v>9.0277777777777769e-03</v>
      </c>
      <c r="F12" s="83">
        <v>1.7361111111111112e-02</v>
      </c>
      <c r="G12" s="83">
        <f>(F12-E12)+(Q12-P12)</f>
        <v>8.3333333333333332e-03</v>
      </c>
      <c r="H12" s="38">
        <v>0</v>
      </c>
      <c r="I12" s="83">
        <v>1.0416666666666666e-02</v>
      </c>
      <c r="J12" s="83">
        <v>1.7361111111111112e-02</v>
      </c>
      <c r="K12" s="83">
        <f>(J12-I12)+(S12-R12)</f>
        <v>6.9444444444444441e-03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944</v>
      </c>
      <c r="C13" s="83">
        <f>Sum(G13,K13)</f>
        <v>2.7777777777777776e-02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6.9444444444444441e-03</v>
      </c>
      <c r="K13" s="83">
        <f>(J13-I13)+(S13-R13)</f>
        <v>1.0416666666666666e-02</v>
      </c>
      <c r="L13" s="48"/>
      <c r="M13" s="48"/>
      <c r="N13" s="72"/>
      <c r="O13" s="38">
        <v>1</v>
      </c>
      <c r="P13" s="48"/>
      <c r="Q13" s="48"/>
      <c r="R13" s="83">
        <v>1.3888888888888888e-02</v>
      </c>
      <c r="S13" s="83">
        <v>1.7361111111111112e-02</v>
      </c>
    </row>
    <row r="14">
      <c r="A14" s="81">
        <v>15</v>
      </c>
      <c r="B14" s="48" t="s">
        <v>945</v>
      </c>
      <c r="C14" s="83">
        <f>Sum(G14,K14)</f>
        <v>1.7013888888888887e-02</v>
      </c>
      <c r="D14" s="38">
        <v>1</v>
      </c>
      <c r="E14" s="83">
        <v>0</v>
      </c>
      <c r="F14" s="83">
        <v>8.6805555555555559e-03</v>
      </c>
      <c r="G14" s="83">
        <f>(F14-E14)+(Q14-P14)</f>
        <v>8.6805555555555559e-03</v>
      </c>
      <c r="H14" s="38">
        <v>1</v>
      </c>
      <c r="I14" s="83">
        <v>0</v>
      </c>
      <c r="J14" s="83">
        <v>4.8611111111111112e-03</v>
      </c>
      <c r="K14" s="83">
        <f>(J14-I14)+(S14-R14)</f>
        <v>8.3333333333333332e-03</v>
      </c>
      <c r="L14" s="38">
        <v>1</v>
      </c>
      <c r="M14" s="48"/>
      <c r="N14" s="72"/>
      <c r="O14" s="38">
        <v>1</v>
      </c>
      <c r="P14" s="48"/>
      <c r="Q14" s="48"/>
      <c r="R14" s="83">
        <v>1.3888888888888888e-02</v>
      </c>
      <c r="S14" s="83">
        <v>1.7361111111111112e-02</v>
      </c>
    </row>
    <row r="15">
      <c r="A15" s="81">
        <v>16</v>
      </c>
      <c r="B15" s="48" t="s">
        <v>946</v>
      </c>
      <c r="C15" s="83">
        <f>Sum(G15,K15)</f>
        <v>1.7708333333333333e-02</v>
      </c>
      <c r="D15" s="38">
        <v>0</v>
      </c>
      <c r="E15" s="83">
        <v>8.6805555555555559e-03</v>
      </c>
      <c r="F15" s="83">
        <v>1.7361111111111112e-02</v>
      </c>
      <c r="G15" s="83">
        <f>(F15-E15)+(Q15-P15)</f>
        <v>8.6805555555555559e-03</v>
      </c>
      <c r="H15" s="38">
        <v>0</v>
      </c>
      <c r="I15" s="83">
        <v>4.8611111111111112e-03</v>
      </c>
      <c r="J15" s="83">
        <v>1.3888888888888888e-02</v>
      </c>
      <c r="K15" s="83">
        <f>(J15-I15)+(S15-R15)</f>
        <v>9.0277777777777769e-03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947</v>
      </c>
      <c r="C16" s="83">
        <f>Sum(G16,K16)</f>
        <v>1.5625e-02</v>
      </c>
      <c r="D16" s="38">
        <v>1</v>
      </c>
      <c r="E16" s="83">
        <v>0</v>
      </c>
      <c r="F16" s="83">
        <v>8.6805555555555559e-03</v>
      </c>
      <c r="G16" s="83">
        <f>(F16-E16)+(Q16-P16)</f>
        <v>8.6805555555555559e-03</v>
      </c>
      <c r="H16" s="38">
        <v>1</v>
      </c>
      <c r="I16" s="83">
        <v>0</v>
      </c>
      <c r="J16" s="83">
        <v>6.9444444444444441e-03</v>
      </c>
      <c r="K16" s="83">
        <f>(J16-I16)+(S16-R16)</f>
        <v>6.9444444444444441e-03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948</v>
      </c>
      <c r="C17" s="83">
        <f>Sum(G17,K17)</f>
        <v>1.7013888888888887e-02</v>
      </c>
      <c r="D17" s="38">
        <v>1</v>
      </c>
      <c r="E17" s="83">
        <v>0</v>
      </c>
      <c r="F17" s="83">
        <v>8.6805555555555559e-03</v>
      </c>
      <c r="G17" s="83">
        <f>(F17-E17)+(Q17-P17)</f>
        <v>8.6805555555555559e-03</v>
      </c>
      <c r="H17" s="38">
        <v>1</v>
      </c>
      <c r="I17" s="83">
        <v>0</v>
      </c>
      <c r="J17" s="83">
        <v>4.8611111111111112e-03</v>
      </c>
      <c r="K17" s="83">
        <f>(J17-I17)+(S17-R17)</f>
        <v>8.3333333333333332e-03</v>
      </c>
      <c r="L17" s="48"/>
      <c r="M17" s="48"/>
      <c r="N17" s="72"/>
      <c r="O17" s="38">
        <v>1</v>
      </c>
      <c r="P17" s="48"/>
      <c r="Q17" s="48"/>
      <c r="R17" s="83">
        <v>1.3888888888888888e-02</v>
      </c>
      <c r="S17" s="83">
        <v>1.7361111111111112e-02</v>
      </c>
    </row>
    <row r="18">
      <c r="A18" s="27"/>
      <c r="B18" s="48"/>
      <c r="C18" s="72"/>
      <c r="K18" s="87" t="s">
        <v>949</v>
      </c>
      <c r="L18" s="91">
        <v>1</v>
      </c>
      <c r="M18" s="48"/>
      <c r="N18" s="38">
        <v>1</v>
      </c>
      <c r="O18" s="89">
        <v>1</v>
      </c>
      <c r="P18" s="72"/>
      <c r="S18" s="72"/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950</v>
      </c>
      <c r="B1" s="9" t="s">
        <v>951</v>
      </c>
      <c r="C1" s="9" t="s">
        <v>952</v>
      </c>
      <c r="D1" s="9" t="s">
        <v>953</v>
      </c>
      <c r="E1" s="9" t="s">
        <v>954</v>
      </c>
      <c r="F1" s="9" t="s">
        <v>955</v>
      </c>
      <c r="G1" s="9" t="s">
        <v>956</v>
      </c>
      <c r="H1" s="9" t="s">
        <v>957</v>
      </c>
      <c r="I1" s="9" t="s">
        <v>958</v>
      </c>
      <c r="J1" s="9" t="s">
        <v>959</v>
      </c>
      <c r="K1" s="9" t="s">
        <v>960</v>
      </c>
      <c r="L1" s="9" t="s">
        <v>961</v>
      </c>
      <c r="M1" s="9" t="s">
        <v>962</v>
      </c>
      <c r="N1" s="9" t="s">
        <v>963</v>
      </c>
      <c r="O1" s="9" t="s">
        <v>964</v>
      </c>
      <c r="P1" s="9" t="s">
        <v>965</v>
      </c>
      <c r="Q1" s="9" t="s">
        <v>966</v>
      </c>
      <c r="R1" s="9" t="s">
        <v>967</v>
      </c>
      <c r="S1" s="9" t="s">
        <v>968</v>
      </c>
    </row>
    <row r="2">
      <c r="A2" s="81">
        <v>1</v>
      </c>
      <c r="B2" s="48" t="s">
        <v>969</v>
      </c>
      <c r="C2" s="83">
        <f>Sum(G2,K2)</f>
        <v>0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0</v>
      </c>
      <c r="P2" s="48"/>
      <c r="Q2" s="48"/>
      <c r="R2" s="48"/>
      <c r="S2" s="48"/>
    </row>
    <row r="3">
      <c r="A3" s="81">
        <v>2</v>
      </c>
      <c r="B3" s="48" t="s">
        <v>970</v>
      </c>
      <c r="C3" s="83">
        <f>Sum(G3,K3)</f>
        <v>1.4583333333333334e-02</v>
      </c>
      <c r="D3" s="38">
        <v>0</v>
      </c>
      <c r="E3" s="83">
        <v>1.1111111111111112e-02</v>
      </c>
      <c r="F3" s="83">
        <v>1.7361111111111112e-02</v>
      </c>
      <c r="G3" s="83">
        <f>(F3-E3)+(Q3-P3)</f>
        <v>6.2500000000000003e-03</v>
      </c>
      <c r="H3" s="38">
        <v>0</v>
      </c>
      <c r="I3" s="83">
        <v>9.0277777777777769e-03</v>
      </c>
      <c r="J3" s="83">
        <v>1.7361111111111112e-02</v>
      </c>
      <c r="K3" s="83">
        <f>(J3-I3)+(S3-R3)</f>
        <v>8.3333333333333332e-03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971</v>
      </c>
      <c r="C4" s="83">
        <f>Sum(G4,K4)</f>
        <v>0</v>
      </c>
      <c r="D4" s="38">
        <v>0</v>
      </c>
      <c r="E4" s="83">
        <v>0</v>
      </c>
      <c r="F4" s="83">
        <v>0</v>
      </c>
      <c r="G4" s="83">
        <f>(F4-E4)+(Q4-P4)</f>
        <v>0</v>
      </c>
      <c r="H4" s="38">
        <v>0</v>
      </c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38">
        <v>0</v>
      </c>
      <c r="P4" s="48"/>
      <c r="Q4" s="48"/>
      <c r="R4" s="48"/>
      <c r="S4" s="48"/>
    </row>
    <row r="5">
      <c r="A5" s="81">
        <v>4</v>
      </c>
      <c r="B5" s="48" t="s">
        <v>972</v>
      </c>
      <c r="C5" s="83">
        <f>Sum(G5,K5)</f>
        <v>1.9097222222222224e-02</v>
      </c>
      <c r="D5" s="38">
        <v>1</v>
      </c>
      <c r="E5" s="83">
        <v>0</v>
      </c>
      <c r="F5" s="83">
        <v>1.0416666666666666e-02</v>
      </c>
      <c r="G5" s="83">
        <f>(F5-E5)+(Q5-P5)</f>
        <v>1.0416666666666666e-02</v>
      </c>
      <c r="H5" s="38">
        <v>1</v>
      </c>
      <c r="I5" s="83">
        <v>0</v>
      </c>
      <c r="J5" s="83">
        <v>8.6805555555555559e-03</v>
      </c>
      <c r="K5" s="83">
        <f>(J5-I5)+(S5-R5)</f>
        <v>8.6805555555555559e-03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973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1</v>
      </c>
      <c r="M6" s="38">
        <v>2</v>
      </c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974</v>
      </c>
      <c r="C7" s="83">
        <f>Sum(G7,K7)</f>
        <v>1.5625e-02</v>
      </c>
      <c r="D7" s="38">
        <v>0</v>
      </c>
      <c r="E7" s="83">
        <v>1.0416666666666666e-02</v>
      </c>
      <c r="F7" s="83">
        <v>1.7361111111111112e-02</v>
      </c>
      <c r="G7" s="83">
        <f>(F7-E7)+(Q7-P7)</f>
        <v>6.9444444444444441e-03</v>
      </c>
      <c r="H7" s="38">
        <v>0</v>
      </c>
      <c r="I7" s="83">
        <v>8.6805555555555559e-03</v>
      </c>
      <c r="J7" s="83">
        <v>1.7361111111111112e-02</v>
      </c>
      <c r="K7" s="83">
        <f>(J7-I7)+(S7-R7)</f>
        <v>8.6805555555555559e-03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975</v>
      </c>
      <c r="C8" s="83">
        <f>Sum(G8,K8)</f>
        <v>1.9444444444444445e-02</v>
      </c>
      <c r="D8" s="38">
        <v>1</v>
      </c>
      <c r="E8" s="83">
        <v>0</v>
      </c>
      <c r="F8" s="83">
        <v>1.0416666666666666e-02</v>
      </c>
      <c r="G8" s="83">
        <f>(F8-E8)+(Q8-P8)</f>
        <v>1.0416666666666666e-02</v>
      </c>
      <c r="H8" s="38">
        <v>1</v>
      </c>
      <c r="I8" s="83">
        <v>0</v>
      </c>
      <c r="J8" s="83">
        <v>9.0277777777777769e-03</v>
      </c>
      <c r="K8" s="83">
        <f>(J8-I8)+(S8-R8)</f>
        <v>9.0277777777777769e-03</v>
      </c>
      <c r="L8" s="38">
        <v>1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976</v>
      </c>
      <c r="C9" s="83">
        <f>Sum(G9,K9)</f>
        <v>1.8055555555555554e-02</v>
      </c>
      <c r="D9" s="38">
        <v>1</v>
      </c>
      <c r="E9" s="83">
        <v>0</v>
      </c>
      <c r="F9" s="83">
        <v>9.0277777777777769e-03</v>
      </c>
      <c r="G9" s="83">
        <f>(F9-E9)+(Q9-P9)</f>
        <v>9.0277777777777769e-03</v>
      </c>
      <c r="H9" s="38">
        <v>1</v>
      </c>
      <c r="I9" s="83">
        <v>0</v>
      </c>
      <c r="J9" s="83">
        <v>9.0277777777777769e-03</v>
      </c>
      <c r="K9" s="83">
        <f>(J9-I9)+(S9-R9)</f>
        <v>9.0277777777777769e-03</v>
      </c>
      <c r="L9" s="38">
        <v>1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977</v>
      </c>
      <c r="C10" s="83">
        <f>Sum(G10,K10)</f>
        <v>2.2222222222222223e-02</v>
      </c>
      <c r="D10" s="38">
        <v>1</v>
      </c>
      <c r="E10" s="83">
        <v>0</v>
      </c>
      <c r="F10" s="83">
        <v>1.1111111111111112e-02</v>
      </c>
      <c r="G10" s="83">
        <f>(F10-E10)+(Q10-P10)</f>
        <v>1.1111111111111112e-02</v>
      </c>
      <c r="H10" s="38">
        <v>1</v>
      </c>
      <c r="I10" s="83">
        <v>0</v>
      </c>
      <c r="J10" s="83">
        <v>1.1111111111111112e-02</v>
      </c>
      <c r="K10" s="83">
        <f>(J10-I10)+(S10-R10)</f>
        <v>1.1111111111111112e-02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978</v>
      </c>
      <c r="C11" s="83">
        <f>Sum(G11,K11)</f>
        <v>1.6666666666666666e-02</v>
      </c>
      <c r="D11" s="38">
        <v>0</v>
      </c>
      <c r="E11" s="83">
        <v>9.0277777777777769e-03</v>
      </c>
      <c r="F11" s="83">
        <v>1.7361111111111112e-02</v>
      </c>
      <c r="G11" s="83">
        <f>(F11-E11)+(Q11-P11)</f>
        <v>8.3333333333333332e-03</v>
      </c>
      <c r="H11" s="38">
        <v>0</v>
      </c>
      <c r="I11" s="83">
        <v>9.0277777777777769e-03</v>
      </c>
      <c r="J11" s="83">
        <v>1.7361111111111112e-02</v>
      </c>
      <c r="K11" s="83">
        <f>(J11-I11)+(S11-R11)</f>
        <v>8.3333333333333332e-03</v>
      </c>
      <c r="L11" s="48"/>
      <c r="M11" s="48"/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979</v>
      </c>
      <c r="C12" s="83">
        <f>Sum(G12,K12)</f>
        <v>3.4722222222222224e-02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980</v>
      </c>
      <c r="C13" s="83">
        <f>Sum(G13,K13)</f>
        <v>0</v>
      </c>
      <c r="D13" s="38">
        <v>0</v>
      </c>
      <c r="E13" s="83">
        <v>0</v>
      </c>
      <c r="F13" s="83">
        <v>0</v>
      </c>
      <c r="G13" s="83">
        <f>(F13-E13)+(Q13-P13)</f>
        <v>0</v>
      </c>
      <c r="H13" s="38">
        <v>0</v>
      </c>
      <c r="I13" s="83">
        <v>0</v>
      </c>
      <c r="J13" s="83">
        <v>0</v>
      </c>
      <c r="K13" s="83">
        <f>(J13-I13)+(S13-R13)</f>
        <v>0</v>
      </c>
      <c r="L13" s="48"/>
      <c r="M13" s="48"/>
      <c r="N13" s="72"/>
      <c r="O13" s="38">
        <v>0</v>
      </c>
      <c r="P13" s="48"/>
      <c r="Q13" s="48"/>
      <c r="R13" s="48"/>
      <c r="S13" s="48"/>
    </row>
    <row r="14">
      <c r="A14" s="81">
        <v>15</v>
      </c>
      <c r="B14" s="48" t="s">
        <v>981</v>
      </c>
      <c r="C14" s="83">
        <f>Sum(G14,K14)</f>
        <v>1.8055555555555554e-02</v>
      </c>
      <c r="D14" s="38">
        <v>1</v>
      </c>
      <c r="E14" s="83">
        <v>0</v>
      </c>
      <c r="F14" s="83">
        <v>9.0277777777777769e-03</v>
      </c>
      <c r="G14" s="83">
        <f>(F14-E14)+(Q14-P14)</f>
        <v>9.0277777777777769e-03</v>
      </c>
      <c r="H14" s="38">
        <v>1</v>
      </c>
      <c r="I14" s="83">
        <v>0</v>
      </c>
      <c r="J14" s="83">
        <v>9.0277777777777769e-03</v>
      </c>
      <c r="K14" s="83">
        <f>(J14-I14)+(S14-R14)</f>
        <v>9.0277777777777769e-03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982</v>
      </c>
      <c r="C15" s="83">
        <f>Sum(G15,K15)</f>
        <v>1.5277777777777777e-02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0</v>
      </c>
      <c r="I15" s="83">
        <v>9.0277777777777769e-03</v>
      </c>
      <c r="J15" s="83">
        <v>1.7361111111111112e-02</v>
      </c>
      <c r="K15" s="83">
        <f>(J15-I15)+(S15-R15)</f>
        <v>8.3333333333333332e-03</v>
      </c>
      <c r="L15" s="38">
        <v>2</v>
      </c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983</v>
      </c>
      <c r="C16" s="83">
        <f>Sum(G16,K16)</f>
        <v>2.7777777777777776e-02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4.1666666666666666e-03</v>
      </c>
      <c r="K16" s="83">
        <f>(J16-I16)+(S16-R16)</f>
        <v>1.0416666666666666e-02</v>
      </c>
      <c r="L16" s="38">
        <v>1</v>
      </c>
      <c r="M16" s="48"/>
      <c r="N16" s="72"/>
      <c r="O16" s="38">
        <v>1</v>
      </c>
      <c r="P16" s="48"/>
      <c r="Q16" s="48"/>
      <c r="R16" s="83">
        <v>1.1111111111111112e-02</v>
      </c>
      <c r="S16" s="83">
        <v>1.7361111111111112e-02</v>
      </c>
    </row>
    <row r="17">
      <c r="A17" s="81">
        <v>22</v>
      </c>
      <c r="B17" s="48" t="s">
        <v>984</v>
      </c>
      <c r="C17" s="83">
        <f>Sum(G17,K17)</f>
        <v>2.1527777777777778e-02</v>
      </c>
      <c r="D17" s="38">
        <v>0</v>
      </c>
      <c r="E17" s="83">
        <v>9.0277777777777769e-03</v>
      </c>
      <c r="F17" s="83">
        <v>1.7361111111111112e-02</v>
      </c>
      <c r="G17" s="83">
        <f>(F17-E17)+(Q17-P17)</f>
        <v>8.3333333333333332e-03</v>
      </c>
      <c r="H17" s="38">
        <v>0</v>
      </c>
      <c r="I17" s="83">
        <v>4.1666666666666666e-03</v>
      </c>
      <c r="J17" s="83">
        <v>1.7361111111111112e-02</v>
      </c>
      <c r="K17" s="83">
        <f>(J17-I17)+(S17-R17)</f>
        <v>1.3194444444444444e-02</v>
      </c>
      <c r="L17" s="38">
        <v>2</v>
      </c>
      <c r="M17" s="38">
        <v>1</v>
      </c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985</v>
      </c>
      <c r="L18" s="91">
        <v>2</v>
      </c>
      <c r="M18" s="48"/>
      <c r="N18" s="38">
        <v>1</v>
      </c>
      <c r="O18" s="89">
        <v>1</v>
      </c>
      <c r="P18" s="72"/>
      <c r="S18" s="72"/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986</v>
      </c>
      <c r="B1" s="9" t="s">
        <v>987</v>
      </c>
      <c r="C1" s="9" t="s">
        <v>988</v>
      </c>
      <c r="D1" s="9" t="s">
        <v>989</v>
      </c>
      <c r="E1" s="9" t="s">
        <v>990</v>
      </c>
      <c r="F1" s="9" t="s">
        <v>991</v>
      </c>
      <c r="G1" s="9" t="s">
        <v>992</v>
      </c>
      <c r="H1" s="9" t="s">
        <v>993</v>
      </c>
      <c r="I1" s="9" t="s">
        <v>994</v>
      </c>
      <c r="J1" s="9" t="s">
        <v>995</v>
      </c>
      <c r="K1" s="9" t="s">
        <v>996</v>
      </c>
      <c r="L1" s="9" t="s">
        <v>997</v>
      </c>
      <c r="M1" s="9" t="s">
        <v>998</v>
      </c>
      <c r="N1" s="9" t="s">
        <v>999</v>
      </c>
      <c r="O1" s="9" t="s">
        <v>1000</v>
      </c>
      <c r="P1" s="9" t="s">
        <v>1001</v>
      </c>
      <c r="Q1" s="9" t="s">
        <v>1002</v>
      </c>
      <c r="R1" s="9" t="s">
        <v>1003</v>
      </c>
      <c r="S1" s="9" t="s">
        <v>1004</v>
      </c>
    </row>
    <row r="2">
      <c r="A2" s="81">
        <v>1</v>
      </c>
      <c r="B2" s="48" t="s">
        <v>1005</v>
      </c>
      <c r="C2" s="83">
        <f>Sum(G2,K2)</f>
        <v>2.7777777777777776e-02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1</v>
      </c>
      <c r="I2" s="83">
        <v>0</v>
      </c>
      <c r="J2" s="83">
        <v>1.0416666666666666e-02</v>
      </c>
      <c r="K2" s="83">
        <f>(J2-I2)+(S2-R2)</f>
        <v>1.0416666666666666e-02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1006</v>
      </c>
      <c r="C3" s="83">
        <f>Sum(G3,K3)</f>
        <v>9.7222222222222224e-03</v>
      </c>
      <c r="D3" s="38">
        <v>0</v>
      </c>
      <c r="E3" s="83">
        <v>1.1111111111111112e-02</v>
      </c>
      <c r="F3" s="83">
        <v>1.7361111111111112e-02</v>
      </c>
      <c r="G3" s="83">
        <f>(F3-E3)+(Q3-P3)</f>
        <v>6.2500000000000003e-03</v>
      </c>
      <c r="H3" s="38">
        <v>0</v>
      </c>
      <c r="I3" s="83">
        <v>1.3888888888888888e-02</v>
      </c>
      <c r="J3" s="83">
        <v>1.7361111111111112e-02</v>
      </c>
      <c r="K3" s="83">
        <f>(J3-I3)+(S3-R3)</f>
        <v>3.472222222222222e-03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1007</v>
      </c>
      <c r="C4" s="83">
        <f>Sum(G4,K4)</f>
        <v>1.9444444444444445e-02</v>
      </c>
      <c r="D4" s="38">
        <v>1</v>
      </c>
      <c r="E4" s="83">
        <v>0</v>
      </c>
      <c r="F4" s="83">
        <v>9.7222222222222224e-03</v>
      </c>
      <c r="G4" s="83">
        <f>(F4-E4)+(Q4-P4)</f>
        <v>9.7222222222222224e-03</v>
      </c>
      <c r="H4" s="38">
        <v>1</v>
      </c>
      <c r="I4" s="83">
        <v>0</v>
      </c>
      <c r="J4" s="83">
        <v>9.7222222222222224e-03</v>
      </c>
      <c r="K4" s="83">
        <f>(J4-I4)+(S4-R4)</f>
        <v>9.7222222222222224e-03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1008</v>
      </c>
      <c r="C5" s="83">
        <f>Sum(G5,K5)</f>
        <v>1.5277777777777777e-02</v>
      </c>
      <c r="D5" s="38">
        <v>0</v>
      </c>
      <c r="E5" s="83">
        <v>9.7222222222222224e-03</v>
      </c>
      <c r="F5" s="83">
        <v>1.7361111111111112e-02</v>
      </c>
      <c r="G5" s="83">
        <f>(F5-E5)+(Q5-P5)</f>
        <v>7.6388888888888886e-03</v>
      </c>
      <c r="H5" s="38">
        <v>0</v>
      </c>
      <c r="I5" s="83">
        <v>9.7222222222222224e-03</v>
      </c>
      <c r="J5" s="83">
        <v>1.7361111111111112e-02</v>
      </c>
      <c r="K5" s="83">
        <f>(J5-I5)+(S5-R5)</f>
        <v>7.6388888888888886e-03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1009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1010</v>
      </c>
      <c r="C7" s="83">
        <f>Sum(G7,K7)</f>
        <v>1.6666666666666666e-02</v>
      </c>
      <c r="D7" s="38">
        <v>0</v>
      </c>
      <c r="E7" s="83">
        <v>8.3333333333333332e-03</v>
      </c>
      <c r="F7" s="83">
        <v>1.7361111111111112e-02</v>
      </c>
      <c r="G7" s="83">
        <f>(F7-E7)+(Q7-P7)</f>
        <v>9.0277777777777769e-03</v>
      </c>
      <c r="H7" s="38">
        <v>0</v>
      </c>
      <c r="I7" s="83">
        <v>9.7222222222222224e-03</v>
      </c>
      <c r="J7" s="83">
        <v>1.7361111111111112e-02</v>
      </c>
      <c r="K7" s="83">
        <f>(J7-I7)+(S7-R7)</f>
        <v>7.6388888888888886e-03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1011</v>
      </c>
      <c r="C8" s="83">
        <f>Sum(G8,K8)</f>
        <v>0</v>
      </c>
      <c r="D8" s="38">
        <v>0</v>
      </c>
      <c r="E8" s="83">
        <v>0</v>
      </c>
      <c r="F8" s="83">
        <v>0</v>
      </c>
      <c r="G8" s="83">
        <f>(F8-E8)+(Q8-P8)</f>
        <v>0</v>
      </c>
      <c r="H8" s="38">
        <v>0</v>
      </c>
      <c r="I8" s="83">
        <v>0</v>
      </c>
      <c r="J8" s="83">
        <v>0</v>
      </c>
      <c r="K8" s="83">
        <f>(J8-I8)+(S8-R8)</f>
        <v>0</v>
      </c>
      <c r="L8" s="48"/>
      <c r="M8" s="48"/>
      <c r="N8" s="72"/>
      <c r="O8" s="38">
        <v>0</v>
      </c>
      <c r="P8" s="48"/>
      <c r="Q8" s="48"/>
      <c r="R8" s="48"/>
      <c r="S8" s="48"/>
    </row>
    <row r="9">
      <c r="A9" s="81">
        <v>8</v>
      </c>
      <c r="B9" s="48" t="s">
        <v>1012</v>
      </c>
      <c r="C9" s="83">
        <f>Sum(G9,K9)</f>
        <v>2.7777777777777776e-02</v>
      </c>
      <c r="D9" s="38">
        <v>1</v>
      </c>
      <c r="E9" s="83">
        <v>0</v>
      </c>
      <c r="F9" s="83">
        <v>1.7361111111111112e-02</v>
      </c>
      <c r="G9" s="83">
        <f>(F9-E9)+(Q9-P9)</f>
        <v>1.7361111111111112e-02</v>
      </c>
      <c r="H9" s="38">
        <v>0</v>
      </c>
      <c r="I9" s="83">
        <v>6.9444444444444441e-03</v>
      </c>
      <c r="J9" s="83">
        <v>1.7361111111111112e-02</v>
      </c>
      <c r="K9" s="83">
        <f>(J9-I9)+(S9-R9)</f>
        <v>1.0416666666666666e-02</v>
      </c>
      <c r="L9" s="38">
        <v>3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1013</v>
      </c>
      <c r="C10" s="83">
        <f>Sum(G10,K10)</f>
        <v>0</v>
      </c>
      <c r="D10" s="38">
        <v>0</v>
      </c>
      <c r="E10" s="83">
        <v>0</v>
      </c>
      <c r="F10" s="83">
        <v>0</v>
      </c>
      <c r="G10" s="83">
        <f>(F10-E10)+(Q10-P10)</f>
        <v>0</v>
      </c>
      <c r="H10" s="38">
        <v>0</v>
      </c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38">
        <v>0</v>
      </c>
      <c r="P10" s="48"/>
      <c r="Q10" s="48"/>
      <c r="R10" s="48"/>
      <c r="S10" s="48"/>
    </row>
    <row r="11">
      <c r="A11" s="81">
        <v>10</v>
      </c>
      <c r="B11" s="48" t="s">
        <v>1014</v>
      </c>
      <c r="C11" s="83">
        <f>Sum(G11,K11)</f>
        <v>1.7361111111111112e-02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1</v>
      </c>
      <c r="I11" s="83">
        <v>0</v>
      </c>
      <c r="J11" s="83">
        <v>1.7361111111111112e-02</v>
      </c>
      <c r="K11" s="83">
        <f>(J11-I11)+(S11-R11)</f>
        <v>1.7361111111111112e-02</v>
      </c>
      <c r="L11" s="48"/>
      <c r="M11" s="38">
        <v>1</v>
      </c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1015</v>
      </c>
      <c r="C12" s="83">
        <f>Sum(G12,K12)</f>
        <v>6.9444444444444441e-03</v>
      </c>
      <c r="D12" s="38">
        <v>0</v>
      </c>
      <c r="E12" s="83">
        <v>0</v>
      </c>
      <c r="F12" s="83">
        <v>0</v>
      </c>
      <c r="G12" s="83">
        <f>(F12-E12)+(Q12-P12)</f>
        <v>0</v>
      </c>
      <c r="H12" s="38">
        <v>0</v>
      </c>
      <c r="I12" s="83">
        <v>1.0416666666666666e-02</v>
      </c>
      <c r="J12" s="83">
        <v>1.7361111111111112e-02</v>
      </c>
      <c r="K12" s="83">
        <f>(J12-I12)+(S12-R12)</f>
        <v>6.9444444444444441e-03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1016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1017</v>
      </c>
      <c r="C14" s="83">
        <f>Sum(G14,K14)</f>
        <v>1.6666666666666666e-02</v>
      </c>
      <c r="D14" s="38">
        <v>1</v>
      </c>
      <c r="E14" s="83">
        <v>0</v>
      </c>
      <c r="F14" s="83">
        <v>9.7222222222222224e-03</v>
      </c>
      <c r="G14" s="83">
        <f>(F14-E14)+(Q14-P14)</f>
        <v>9.7222222222222224e-03</v>
      </c>
      <c r="H14" s="38">
        <v>1</v>
      </c>
      <c r="I14" s="83">
        <v>0</v>
      </c>
      <c r="J14" s="83">
        <v>6.9444444444444441e-03</v>
      </c>
      <c r="K14" s="83">
        <f>(J14-I14)+(S14-R14)</f>
        <v>6.9444444444444441e-03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1018</v>
      </c>
      <c r="C15" s="83">
        <f>Sum(G15,K15)</f>
        <v>1.3888888888888888e-02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0</v>
      </c>
      <c r="I15" s="83">
        <v>1.0416666666666666e-02</v>
      </c>
      <c r="J15" s="83">
        <v>1.7361111111111112e-02</v>
      </c>
      <c r="K15" s="83">
        <f>(J15-I15)+(S15-R15)</f>
        <v>6.9444444444444441e-03</v>
      </c>
      <c r="L15" s="38">
        <v>1</v>
      </c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1019</v>
      </c>
      <c r="C16" s="83">
        <f>Sum(G16,K16)</f>
        <v>2.0833333333333332e-02</v>
      </c>
      <c r="D16" s="38">
        <v>1</v>
      </c>
      <c r="E16" s="83">
        <v>0</v>
      </c>
      <c r="F16" s="83">
        <v>1.1111111111111112e-02</v>
      </c>
      <c r="G16" s="83">
        <f>(F16-E16)+(Q16-P16)</f>
        <v>1.1111111111111112e-02</v>
      </c>
      <c r="H16" s="38">
        <v>1</v>
      </c>
      <c r="I16" s="83">
        <v>0</v>
      </c>
      <c r="J16" s="83">
        <v>9.7222222222222224e-03</v>
      </c>
      <c r="K16" s="83">
        <f>(J16-I16)+(S16-R16)</f>
        <v>9.7222222222222224e-03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1020</v>
      </c>
      <c r="C17" s="83">
        <f>Sum(G17,K17)</f>
        <v>2.0833333333333332e-02</v>
      </c>
      <c r="D17" s="38">
        <v>1</v>
      </c>
      <c r="E17" s="83">
        <v>0</v>
      </c>
      <c r="F17" s="83">
        <v>1.0416666666666666e-02</v>
      </c>
      <c r="G17" s="83">
        <f>(F17-E17)+(Q17-P17)</f>
        <v>1.0416666666666666e-02</v>
      </c>
      <c r="H17" s="38">
        <v>1</v>
      </c>
      <c r="I17" s="83">
        <v>0</v>
      </c>
      <c r="J17" s="83">
        <v>1.0416666666666666e-02</v>
      </c>
      <c r="K17" s="83">
        <f>(J17-I17)+(S17-R17)</f>
        <v>1.0416666666666666e-02</v>
      </c>
      <c r="L17" s="48"/>
      <c r="M17" s="38">
        <v>3</v>
      </c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1021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1022</v>
      </c>
      <c r="B1" s="9" t="s">
        <v>1023</v>
      </c>
      <c r="C1" s="9" t="s">
        <v>1024</v>
      </c>
      <c r="D1" s="9" t="s">
        <v>1025</v>
      </c>
      <c r="E1" s="9" t="s">
        <v>1026</v>
      </c>
      <c r="F1" s="9" t="s">
        <v>1027</v>
      </c>
      <c r="G1" s="9" t="s">
        <v>1028</v>
      </c>
      <c r="H1" s="9" t="s">
        <v>1029</v>
      </c>
      <c r="I1" s="9" t="s">
        <v>1030</v>
      </c>
      <c r="J1" s="9" t="s">
        <v>1031</v>
      </c>
      <c r="K1" s="9" t="s">
        <v>1032</v>
      </c>
      <c r="L1" s="9" t="s">
        <v>1033</v>
      </c>
      <c r="M1" s="9" t="s">
        <v>1034</v>
      </c>
      <c r="N1" s="9" t="s">
        <v>1035</v>
      </c>
      <c r="O1" s="9" t="s">
        <v>1036</v>
      </c>
      <c r="P1" s="9" t="s">
        <v>1037</v>
      </c>
      <c r="Q1" s="9" t="s">
        <v>1038</v>
      </c>
      <c r="R1" s="9" t="s">
        <v>1039</v>
      </c>
      <c r="S1" s="9" t="s">
        <v>1040</v>
      </c>
    </row>
    <row r="2">
      <c r="A2" s="81">
        <v>1</v>
      </c>
      <c r="B2" s="48" t="s">
        <v>1041</v>
      </c>
      <c r="C2" s="83">
        <f>Sum(G2,K2)</f>
        <v>2.1180555555555557e-02</v>
      </c>
      <c r="D2" s="38">
        <v>1</v>
      </c>
      <c r="E2" s="83">
        <v>0</v>
      </c>
      <c r="F2" s="83">
        <v>1.2152777777777778e-02</v>
      </c>
      <c r="G2" s="83">
        <f>(F2-E2)+(Q2-P2)</f>
        <v>1.2152777777777778e-02</v>
      </c>
      <c r="H2" s="38">
        <v>0</v>
      </c>
      <c r="I2" s="83">
        <v>8.3333333333333332e-03</v>
      </c>
      <c r="J2" s="83">
        <v>1.7361111111111112e-02</v>
      </c>
      <c r="K2" s="83">
        <f>(J2-I2)+(S2-R2)</f>
        <v>9.0277777777777769e-03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1042</v>
      </c>
      <c r="C3" s="83">
        <f>Sum(G3,K3)</f>
        <v>8.6805555555555559e-03</v>
      </c>
      <c r="D3" s="38">
        <v>0</v>
      </c>
      <c r="E3" s="83">
        <v>1.1805555555555555e-02</v>
      </c>
      <c r="F3" s="83">
        <v>1.7361111111111112e-02</v>
      </c>
      <c r="G3" s="83">
        <f>(F3-E3)+(Q3-P3)</f>
        <v>5.5555555555555558e-03</v>
      </c>
      <c r="H3" s="38">
        <v>0</v>
      </c>
      <c r="I3" s="83">
        <v>1.4236111111111111e-02</v>
      </c>
      <c r="J3" s="83">
        <v>1.7361111111111112e-02</v>
      </c>
      <c r="K3" s="83">
        <f>(J3-I3)+(S3-R3)</f>
        <v>3.1250000000000002e-03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1043</v>
      </c>
      <c r="C4" s="83">
        <f>Sum(G4,K4)</f>
        <v>1.7361111111111112e-02</v>
      </c>
      <c r="D4" s="38">
        <v>1</v>
      </c>
      <c r="E4" s="83">
        <v>0</v>
      </c>
      <c r="F4" s="83">
        <v>9.7222222222222224e-03</v>
      </c>
      <c r="G4" s="83">
        <f>(F4-E4)+(Q4-P4)</f>
        <v>9.7222222222222224e-03</v>
      </c>
      <c r="H4" s="38">
        <v>0</v>
      </c>
      <c r="I4" s="83">
        <v>9.7222222222222224e-03</v>
      </c>
      <c r="J4" s="83">
        <v>1.7361111111111112e-02</v>
      </c>
      <c r="K4" s="83">
        <f>(J4-I4)+(S4-R4)</f>
        <v>7.6388888888888886e-03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1044</v>
      </c>
      <c r="C5" s="83">
        <f>Sum(G5,K5)</f>
        <v>1.7361111111111112e-02</v>
      </c>
      <c r="D5" s="38">
        <v>0</v>
      </c>
      <c r="E5" s="83">
        <v>9.7222222222222224e-03</v>
      </c>
      <c r="F5" s="83">
        <v>1.7361111111111112e-02</v>
      </c>
      <c r="G5" s="83">
        <f>(F5-E5)+(Q5-P5)</f>
        <v>7.6388888888888886e-03</v>
      </c>
      <c r="H5" s="38">
        <v>1</v>
      </c>
      <c r="I5" s="83">
        <v>0</v>
      </c>
      <c r="J5" s="83">
        <v>9.7222222222222224e-03</v>
      </c>
      <c r="K5" s="83">
        <f>(J5-I5)+(S5-R5)</f>
        <v>9.7222222222222224e-03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1045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1046</v>
      </c>
      <c r="C7" s="83">
        <f>Sum(G7,K7)</f>
        <v>1.4236111111111111e-02</v>
      </c>
      <c r="D7" s="38">
        <v>0</v>
      </c>
      <c r="E7" s="83">
        <v>1.2152777777777778e-02</v>
      </c>
      <c r="F7" s="83">
        <v>1.7361111111111112e-02</v>
      </c>
      <c r="G7" s="83">
        <f>(F7-E7)+(Q7-P7)</f>
        <v>5.208333333333333e-03</v>
      </c>
      <c r="H7" s="38">
        <v>1</v>
      </c>
      <c r="I7" s="83">
        <v>0</v>
      </c>
      <c r="J7" s="83">
        <v>9.0277777777777769e-03</v>
      </c>
      <c r="K7" s="83">
        <f>(J7-I7)+(S7-R7)</f>
        <v>9.0277777777777769e-03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1047</v>
      </c>
      <c r="C8" s="83">
        <f>Sum(G8,K8)</f>
        <v>2.2222222222222223e-02</v>
      </c>
      <c r="D8" s="38">
        <v>1</v>
      </c>
      <c r="E8" s="83">
        <v>0</v>
      </c>
      <c r="F8" s="83">
        <v>1.1805555555555555e-02</v>
      </c>
      <c r="G8" s="83">
        <f>(F8-E8)+(Q8-P8)</f>
        <v>1.1805555555555555e-02</v>
      </c>
      <c r="H8" s="38">
        <v>0</v>
      </c>
      <c r="I8" s="83">
        <v>6.9444444444444441e-03</v>
      </c>
      <c r="J8" s="83">
        <v>1.7361111111111112e-02</v>
      </c>
      <c r="K8" s="83">
        <f>(J8-I8)+(S8-R8)</f>
        <v>1.0416666666666666e-02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1048</v>
      </c>
      <c r="C9" s="83">
        <f>Sum(G9,K9)</f>
        <v>2.1874999999999999e-02</v>
      </c>
      <c r="D9" s="38">
        <v>1</v>
      </c>
      <c r="E9" s="83">
        <v>0</v>
      </c>
      <c r="F9" s="83">
        <v>7.6388888888888886e-03</v>
      </c>
      <c r="G9" s="83">
        <f>(F9-E9)+(Q9-P9)</f>
        <v>7.6388888888888886e-03</v>
      </c>
      <c r="H9" s="38">
        <v>1</v>
      </c>
      <c r="I9" s="83">
        <v>0</v>
      </c>
      <c r="J9" s="83">
        <v>1.4236111111111111e-02</v>
      </c>
      <c r="K9" s="83">
        <f>(J9-I9)+(S9-R9)</f>
        <v>1.4236111111111111e-02</v>
      </c>
      <c r="L9" s="48"/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1049</v>
      </c>
      <c r="C10" s="83">
        <f>Sum(G10,K10)</f>
        <v>1.8055555555555554e-02</v>
      </c>
      <c r="D10" s="38">
        <v>0</v>
      </c>
      <c r="E10" s="83">
        <v>7.6388888888888886e-03</v>
      </c>
      <c r="F10" s="83">
        <v>1.7361111111111112e-02</v>
      </c>
      <c r="G10" s="83">
        <f>(F10-E10)+(Q10-P10)</f>
        <v>9.7222222222222224e-03</v>
      </c>
      <c r="H10" s="38">
        <v>0</v>
      </c>
      <c r="I10" s="83">
        <v>9.0277777777777769e-03</v>
      </c>
      <c r="J10" s="83">
        <v>1.7361111111111112e-02</v>
      </c>
      <c r="K10" s="83">
        <f>(J10-I10)+(S10-R10)</f>
        <v>8.3333333333333332e-03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1050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1051</v>
      </c>
      <c r="C12" s="83">
        <f>Sum(G12,K12)</f>
        <v>1.3541666666666667e-02</v>
      </c>
      <c r="D12" s="38">
        <v>0</v>
      </c>
      <c r="E12" s="83">
        <v>1.2152777777777778e-02</v>
      </c>
      <c r="F12" s="83">
        <v>1.7361111111111112e-02</v>
      </c>
      <c r="G12" s="83">
        <f>(F12-E12)+(Q12-P12)</f>
        <v>5.208333333333333e-03</v>
      </c>
      <c r="H12" s="38">
        <v>1</v>
      </c>
      <c r="I12" s="83">
        <v>0</v>
      </c>
      <c r="J12" s="83">
        <v>8.3333333333333332e-03</v>
      </c>
      <c r="K12" s="83">
        <f>(J12-I12)+(S12-R12)</f>
        <v>8.3333333333333332e-03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1052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1053</v>
      </c>
      <c r="C14" s="83">
        <f>Sum(G14,K14)</f>
        <v>0</v>
      </c>
      <c r="D14" s="38">
        <v>0</v>
      </c>
      <c r="E14" s="83">
        <v>0</v>
      </c>
      <c r="F14" s="83">
        <v>0</v>
      </c>
      <c r="G14" s="83">
        <f>(F14-E14)+(Q14-P14)</f>
        <v>0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0</v>
      </c>
      <c r="P14" s="48"/>
      <c r="Q14" s="48"/>
      <c r="R14" s="48"/>
      <c r="S14" s="48"/>
    </row>
    <row r="15">
      <c r="A15" s="81">
        <v>16</v>
      </c>
      <c r="B15" s="48" t="s">
        <v>1054</v>
      </c>
      <c r="C15" s="83">
        <f>Sum(G15,K15)</f>
        <v>0</v>
      </c>
      <c r="D15" s="38">
        <v>0</v>
      </c>
      <c r="E15" s="83">
        <v>0</v>
      </c>
      <c r="F15" s="83">
        <v>0</v>
      </c>
      <c r="G15" s="83">
        <f>(F15-E15)+(Q15-P15)</f>
        <v>0</v>
      </c>
      <c r="H15" s="38">
        <v>0</v>
      </c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38">
        <v>0</v>
      </c>
      <c r="P15" s="48"/>
      <c r="Q15" s="48"/>
      <c r="R15" s="48"/>
      <c r="S15" s="48"/>
    </row>
    <row r="16">
      <c r="A16" s="81">
        <v>20</v>
      </c>
      <c r="B16" s="48" t="s">
        <v>1055</v>
      </c>
      <c r="C16" s="83">
        <f>Sum(G16,K16)</f>
        <v>2.9513888888888888e-02</v>
      </c>
      <c r="D16" s="38">
        <v>1</v>
      </c>
      <c r="E16" s="83">
        <v>0</v>
      </c>
      <c r="F16" s="83">
        <v>1.2152777777777778e-02</v>
      </c>
      <c r="G16" s="83">
        <f>(F16-E16)+(Q16-P16)</f>
        <v>1.2152777777777778e-02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1056</v>
      </c>
      <c r="C17" s="83">
        <f>Sum(G17,K17)</f>
        <v>2.4305555555555556e-02</v>
      </c>
      <c r="D17" s="38">
        <v>1</v>
      </c>
      <c r="E17" s="83">
        <v>0</v>
      </c>
      <c r="F17" s="83">
        <v>1.7361111111111112e-02</v>
      </c>
      <c r="G17" s="83">
        <f>(F17-E17)+(Q17-P17)</f>
        <v>1.7361111111111112e-02</v>
      </c>
      <c r="H17" s="38">
        <v>1</v>
      </c>
      <c r="I17" s="83">
        <v>0</v>
      </c>
      <c r="J17" s="83">
        <v>6.9444444444444441e-03</v>
      </c>
      <c r="K17" s="83">
        <f>(J17-I17)+(S17-R17)</f>
        <v>6.9444444444444441e-03</v>
      </c>
      <c r="L17" s="48"/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1057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1058</v>
      </c>
      <c r="B1" s="9" t="s">
        <v>1059</v>
      </c>
      <c r="C1" s="9" t="s">
        <v>1060</v>
      </c>
      <c r="D1" s="9" t="s">
        <v>1061</v>
      </c>
      <c r="E1" s="9" t="s">
        <v>1062</v>
      </c>
      <c r="F1" s="9" t="s">
        <v>1063</v>
      </c>
      <c r="G1" s="9" t="s">
        <v>1064</v>
      </c>
      <c r="H1" s="9" t="s">
        <v>1065</v>
      </c>
      <c r="I1" s="9" t="s">
        <v>1066</v>
      </c>
      <c r="J1" s="9" t="s">
        <v>1067</v>
      </c>
      <c r="K1" s="9" t="s">
        <v>1068</v>
      </c>
      <c r="L1" s="9" t="s">
        <v>1069</v>
      </c>
      <c r="M1" s="9" t="s">
        <v>1070</v>
      </c>
      <c r="N1" s="9" t="s">
        <v>1071</v>
      </c>
      <c r="O1" s="9" t="s">
        <v>1072</v>
      </c>
      <c r="P1" s="9" t="s">
        <v>1073</v>
      </c>
      <c r="Q1" s="9" t="s">
        <v>1074</v>
      </c>
      <c r="R1" s="9" t="s">
        <v>1075</v>
      </c>
      <c r="S1" s="9" t="s">
        <v>1076</v>
      </c>
    </row>
    <row r="2">
      <c r="A2" s="81">
        <v>1</v>
      </c>
      <c r="B2" s="48" t="s">
        <v>1077</v>
      </c>
      <c r="C2" s="83">
        <f>Sum(G2,K2)</f>
        <v>2.2222222222222223e-02</v>
      </c>
      <c r="D2" s="38">
        <v>1</v>
      </c>
      <c r="E2" s="83">
        <v>0</v>
      </c>
      <c r="F2" s="83">
        <v>1.1111111111111112e-02</v>
      </c>
      <c r="G2" s="83">
        <f>(F2-E2)+(Q2-P2)</f>
        <v>1.1111111111111112e-02</v>
      </c>
      <c r="H2" s="38">
        <v>1</v>
      </c>
      <c r="I2" s="83">
        <v>0</v>
      </c>
      <c r="J2" s="83">
        <v>1.1111111111111112e-02</v>
      </c>
      <c r="K2" s="83">
        <f>(J2-I2)+(S2-R2)</f>
        <v>1.1111111111111112e-02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1078</v>
      </c>
      <c r="C3" s="83">
        <f>Sum(G3,K3)</f>
        <v>0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0</v>
      </c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38">
        <v>0</v>
      </c>
      <c r="P3" s="48"/>
      <c r="Q3" s="48"/>
      <c r="R3" s="48"/>
      <c r="S3" s="48"/>
    </row>
    <row r="4">
      <c r="A4" s="81">
        <v>3</v>
      </c>
      <c r="B4" s="48" t="s">
        <v>1079</v>
      </c>
      <c r="C4" s="83">
        <f>Sum(G4,K4)</f>
        <v>1.8055555555555554e-02</v>
      </c>
      <c r="D4" s="38">
        <v>1</v>
      </c>
      <c r="E4" s="83">
        <v>0</v>
      </c>
      <c r="F4" s="83">
        <v>9.0277777777777769e-03</v>
      </c>
      <c r="G4" s="83">
        <f>(F4-E4)+(Q4-P4)</f>
        <v>9.0277777777777769e-03</v>
      </c>
      <c r="H4" s="38">
        <v>1</v>
      </c>
      <c r="I4" s="83">
        <v>0</v>
      </c>
      <c r="J4" s="83">
        <v>9.0277777777777769e-03</v>
      </c>
      <c r="K4" s="83">
        <f>(J4-I4)+(S4-R4)</f>
        <v>9.0277777777777769e-03</v>
      </c>
      <c r="L4" s="38">
        <v>1</v>
      </c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1080</v>
      </c>
      <c r="C5" s="83">
        <f>Sum(G5,K5)</f>
        <v>1.6666666666666666e-02</v>
      </c>
      <c r="D5" s="38">
        <v>0</v>
      </c>
      <c r="E5" s="83">
        <v>9.0277777777777769e-03</v>
      </c>
      <c r="F5" s="83">
        <v>1.7361111111111112e-02</v>
      </c>
      <c r="G5" s="83">
        <f>(F5-E5)+(Q5-P5)</f>
        <v>8.3333333333333332e-03</v>
      </c>
      <c r="H5" s="38">
        <v>0</v>
      </c>
      <c r="I5" s="83">
        <v>9.0277777777777769e-03</v>
      </c>
      <c r="J5" s="83">
        <v>1.7361111111111112e-02</v>
      </c>
      <c r="K5" s="83">
        <f>(J5-I5)+(S5-R5)</f>
        <v>8.3333333333333332e-03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1081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38">
        <v>1</v>
      </c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1082</v>
      </c>
      <c r="C7" s="83">
        <f>Sum(G7,K7)</f>
        <v>0</v>
      </c>
      <c r="D7" s="38">
        <v>0</v>
      </c>
      <c r="E7" s="83">
        <v>0</v>
      </c>
      <c r="F7" s="83">
        <v>0</v>
      </c>
      <c r="G7" s="83">
        <f>(F7-E7)+(Q7-P7)</f>
        <v>0</v>
      </c>
      <c r="H7" s="38">
        <v>0</v>
      </c>
      <c r="I7" s="83">
        <v>0</v>
      </c>
      <c r="J7" s="83">
        <v>0</v>
      </c>
      <c r="K7" s="83">
        <f>(J7-I7)+(S7-R7)</f>
        <v>0</v>
      </c>
      <c r="L7" s="48"/>
      <c r="M7" s="48"/>
      <c r="N7" s="72"/>
      <c r="O7" s="38">
        <v>0</v>
      </c>
      <c r="P7" s="48"/>
      <c r="Q7" s="48"/>
      <c r="R7" s="48"/>
      <c r="S7" s="48"/>
    </row>
    <row r="8">
      <c r="A8" s="81">
        <v>7</v>
      </c>
      <c r="B8" s="48" t="s">
        <v>1083</v>
      </c>
      <c r="C8" s="83">
        <f>Sum(G8,K8)</f>
        <v>1.8055555555555554e-02</v>
      </c>
      <c r="D8" s="38">
        <v>0</v>
      </c>
      <c r="E8" s="83">
        <v>8.3333333333333332e-03</v>
      </c>
      <c r="F8" s="83">
        <v>1.7361111111111112e-02</v>
      </c>
      <c r="G8" s="83">
        <f>(F8-E8)+(Q8-P8)</f>
        <v>9.0277777777777769e-03</v>
      </c>
      <c r="H8" s="38">
        <v>0</v>
      </c>
      <c r="I8" s="83">
        <v>8.3333333333333332e-03</v>
      </c>
      <c r="J8" s="83">
        <v>1.7361111111111112e-02</v>
      </c>
      <c r="K8" s="83">
        <f>(J8-I8)+(S8-R8)</f>
        <v>9.0277777777777769e-03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1084</v>
      </c>
      <c r="C9" s="83">
        <f>Sum(G9,K9)</f>
        <v>1.6666666666666666e-02</v>
      </c>
      <c r="D9" s="38">
        <v>1</v>
      </c>
      <c r="E9" s="83">
        <v>0</v>
      </c>
      <c r="F9" s="83">
        <v>8.3333333333333332e-03</v>
      </c>
      <c r="G9" s="83">
        <f>(F9-E9)+(Q9-P9)</f>
        <v>8.3333333333333332e-03</v>
      </c>
      <c r="H9" s="38">
        <v>1</v>
      </c>
      <c r="I9" s="83">
        <v>0</v>
      </c>
      <c r="J9" s="83">
        <v>8.3333333333333332e-03</v>
      </c>
      <c r="K9" s="83">
        <f>(J9-I9)+(S9-R9)</f>
        <v>8.3333333333333332e-03</v>
      </c>
      <c r="L9" s="38">
        <v>1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1085</v>
      </c>
      <c r="C10" s="83">
        <f>Sum(G10,K10)</f>
        <v>1.8055555555555554e-02</v>
      </c>
      <c r="D10" s="38">
        <v>0</v>
      </c>
      <c r="E10" s="83">
        <v>8.3333333333333332e-03</v>
      </c>
      <c r="F10" s="83">
        <v>1.7361111111111112e-02</v>
      </c>
      <c r="G10" s="83">
        <f>(F10-E10)+(Q10-P10)</f>
        <v>9.0277777777777769e-03</v>
      </c>
      <c r="H10" s="38">
        <v>0</v>
      </c>
      <c r="I10" s="83">
        <v>8.3333333333333332e-03</v>
      </c>
      <c r="J10" s="83">
        <v>1.7361111111111112e-02</v>
      </c>
      <c r="K10" s="83">
        <f>(J10-I10)+(S10-R10)</f>
        <v>9.0277777777777769e-03</v>
      </c>
      <c r="L10" s="38">
        <v>1</v>
      </c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1086</v>
      </c>
      <c r="C11" s="83">
        <f>Sum(G11,K11)</f>
        <v>1.6666666666666666e-02</v>
      </c>
      <c r="D11" s="38">
        <v>0</v>
      </c>
      <c r="E11" s="83">
        <v>9.0277777777777769e-03</v>
      </c>
      <c r="F11" s="83">
        <v>1.7361111111111112e-02</v>
      </c>
      <c r="G11" s="83">
        <f>(F11-E11)+(Q11-P11)</f>
        <v>8.3333333333333332e-03</v>
      </c>
      <c r="H11" s="38">
        <v>0</v>
      </c>
      <c r="I11" s="83">
        <v>9.0277777777777769e-03</v>
      </c>
      <c r="J11" s="83">
        <v>1.7361111111111112e-02</v>
      </c>
      <c r="K11" s="83">
        <f>(J11-I11)+(S11-R11)</f>
        <v>8.3333333333333332e-03</v>
      </c>
      <c r="L11" s="48"/>
      <c r="M11" s="48"/>
      <c r="N11" s="72"/>
      <c r="O11" s="38">
        <v>1</v>
      </c>
      <c r="P11" s="48"/>
      <c r="Q11" s="48"/>
      <c r="R11" s="48"/>
      <c r="S11" s="48"/>
    </row>
    <row r="12">
      <c r="A12" s="81">
        <v>11</v>
      </c>
      <c r="B12" s="48" t="s">
        <v>1087</v>
      </c>
      <c r="C12" s="83">
        <f>Sum(G12,K12)</f>
        <v>1.2500000000000001e-02</v>
      </c>
      <c r="D12" s="38">
        <v>0</v>
      </c>
      <c r="E12" s="83">
        <v>1.1111111111111112e-02</v>
      </c>
      <c r="F12" s="83">
        <v>1.7361111111111112e-02</v>
      </c>
      <c r="G12" s="83">
        <f>(F12-E12)+(Q12-P12)</f>
        <v>6.2500000000000003e-03</v>
      </c>
      <c r="H12" s="38">
        <v>0</v>
      </c>
      <c r="I12" s="83">
        <v>1.1111111111111112e-02</v>
      </c>
      <c r="J12" s="83">
        <v>1.7361111111111112e-02</v>
      </c>
      <c r="K12" s="83">
        <f>(J12-I12)+(S12-R12)</f>
        <v>6.2500000000000003e-03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1088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1089</v>
      </c>
      <c r="C14" s="83">
        <f>Sum(G14,K14)</f>
        <v>1.6666666666666666e-02</v>
      </c>
      <c r="D14" s="38">
        <v>1</v>
      </c>
      <c r="E14" s="83">
        <v>0</v>
      </c>
      <c r="F14" s="83">
        <v>8.3333333333333332e-03</v>
      </c>
      <c r="G14" s="83">
        <f>(F14-E14)+(Q14-P14)</f>
        <v>8.3333333333333332e-03</v>
      </c>
      <c r="H14" s="38">
        <v>1</v>
      </c>
      <c r="I14" s="83">
        <v>0</v>
      </c>
      <c r="J14" s="83">
        <v>8.3333333333333332e-03</v>
      </c>
      <c r="K14" s="83">
        <f>(J14-I14)+(S14-R14)</f>
        <v>8.3333333333333332e-03</v>
      </c>
      <c r="L14" s="38">
        <v>1</v>
      </c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1090</v>
      </c>
      <c r="C15" s="83">
        <f>Sum(G15,K15)</f>
        <v>1.2500000000000001e-02</v>
      </c>
      <c r="D15" s="38">
        <v>0</v>
      </c>
      <c r="E15" s="83">
        <v>1.1111111111111112e-02</v>
      </c>
      <c r="F15" s="83">
        <v>1.7361111111111112e-02</v>
      </c>
      <c r="G15" s="83">
        <f>(F15-E15)+(Q15-P15)</f>
        <v>6.2500000000000003e-03</v>
      </c>
      <c r="H15" s="38">
        <v>0</v>
      </c>
      <c r="I15" s="83">
        <v>1.1111111111111112e-02</v>
      </c>
      <c r="J15" s="83">
        <v>1.7361111111111112e-02</v>
      </c>
      <c r="K15" s="83">
        <f>(J15-I15)+(S15-R15)</f>
        <v>6.2500000000000003e-03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1091</v>
      </c>
      <c r="C16" s="83">
        <f>Sum(G16,K16)</f>
        <v>2.2222222222222223e-02</v>
      </c>
      <c r="D16" s="38">
        <v>1</v>
      </c>
      <c r="E16" s="83">
        <v>0</v>
      </c>
      <c r="F16" s="83">
        <v>1.1111111111111112e-02</v>
      </c>
      <c r="G16" s="83">
        <f>(F16-E16)+(Q16-P16)</f>
        <v>1.1111111111111112e-02</v>
      </c>
      <c r="H16" s="38">
        <v>1</v>
      </c>
      <c r="I16" s="83">
        <v>0</v>
      </c>
      <c r="J16" s="83">
        <v>1.1111111111111112e-02</v>
      </c>
      <c r="K16" s="83">
        <f>(J16-I16)+(S16-R16)</f>
        <v>1.1111111111111112e-02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1092</v>
      </c>
      <c r="C17" s="83">
        <f>Sum(G17,K17)</f>
        <v>1.8055555555555554e-02</v>
      </c>
      <c r="D17" s="38">
        <v>1</v>
      </c>
      <c r="E17" s="83">
        <v>0</v>
      </c>
      <c r="F17" s="83">
        <v>9.0277777777777769e-03</v>
      </c>
      <c r="G17" s="83">
        <f>(F17-E17)+(Q17-P17)</f>
        <v>9.0277777777777769e-03</v>
      </c>
      <c r="H17" s="38">
        <v>1</v>
      </c>
      <c r="I17" s="83">
        <v>0</v>
      </c>
      <c r="J17" s="83">
        <v>9.0277777777777769e-03</v>
      </c>
      <c r="K17" s="83">
        <f>(J17-I17)+(S17-R17)</f>
        <v>9.0277777777777769e-03</v>
      </c>
      <c r="L17" s="38">
        <v>4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G18" s="92" t="s">
        <v>1093</v>
      </c>
      <c r="H18" s="93">
        <v>1</v>
      </c>
      <c r="I18" s="94" t="s">
        <v>1094</v>
      </c>
      <c r="J18" s="95"/>
      <c r="K18" s="87" t="s">
        <v>1095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1096</v>
      </c>
      <c r="B1" s="9" t="s">
        <v>1097</v>
      </c>
      <c r="C1" s="9" t="s">
        <v>1098</v>
      </c>
      <c r="D1" s="9" t="s">
        <v>1099</v>
      </c>
      <c r="E1" s="9" t="s">
        <v>1100</v>
      </c>
      <c r="F1" s="9" t="s">
        <v>1101</v>
      </c>
      <c r="G1" s="9" t="s">
        <v>1102</v>
      </c>
      <c r="H1" s="9" t="s">
        <v>1103</v>
      </c>
      <c r="I1" s="9" t="s">
        <v>1104</v>
      </c>
      <c r="J1" s="9" t="s">
        <v>1105</v>
      </c>
      <c r="K1" s="9" t="s">
        <v>1106</v>
      </c>
      <c r="L1" s="9" t="s">
        <v>1107</v>
      </c>
      <c r="M1" s="9" t="s">
        <v>1108</v>
      </c>
      <c r="N1" s="9" t="s">
        <v>1109</v>
      </c>
      <c r="O1" s="9" t="s">
        <v>1110</v>
      </c>
      <c r="P1" s="9" t="s">
        <v>1111</v>
      </c>
      <c r="Q1" s="9" t="s">
        <v>1112</v>
      </c>
      <c r="R1" s="9" t="s">
        <v>1113</v>
      </c>
      <c r="S1" s="9" t="s">
        <v>1114</v>
      </c>
    </row>
    <row r="2">
      <c r="A2" s="81">
        <v>1</v>
      </c>
      <c r="B2" s="48" t="s">
        <v>1115</v>
      </c>
      <c r="C2" s="83">
        <f>Sum(G2,K2)</f>
        <v>2.2916666666666665e-02</v>
      </c>
      <c r="D2" s="38">
        <v>1</v>
      </c>
      <c r="E2" s="83">
        <v>0</v>
      </c>
      <c r="F2" s="83">
        <v>1.1805555555555555e-02</v>
      </c>
      <c r="G2" s="83">
        <f>(F2-E2)+(Q2-P2)</f>
        <v>1.1805555555555555e-02</v>
      </c>
      <c r="H2" s="38">
        <v>1</v>
      </c>
      <c r="I2" s="83">
        <v>0</v>
      </c>
      <c r="J2" s="83">
        <v>1.1111111111111112e-02</v>
      </c>
      <c r="K2" s="83">
        <f>(J2-I2)+(S2-R2)</f>
        <v>1.1111111111111112e-02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1116</v>
      </c>
      <c r="C3" s="83">
        <f>Sum(G3,K3)</f>
        <v>1.2152777777777778e-02</v>
      </c>
      <c r="D3" s="38">
        <v>0</v>
      </c>
      <c r="E3" s="83">
        <v>1.1458333333333333e-02</v>
      </c>
      <c r="F3" s="83">
        <v>1.7361111111111112e-02</v>
      </c>
      <c r="G3" s="83">
        <f>(F3-E3)+(Q3-P3)</f>
        <v>5.9027777777777776e-03</v>
      </c>
      <c r="H3" s="38">
        <v>0</v>
      </c>
      <c r="I3" s="83">
        <v>1.1111111111111112e-02</v>
      </c>
      <c r="J3" s="83">
        <v>1.7361111111111112e-02</v>
      </c>
      <c r="K3" s="83">
        <f>(J3-I3)+(S3-R3)</f>
        <v>6.2500000000000003e-03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1117</v>
      </c>
      <c r="C4" s="83">
        <f>Sum(G4,K4)</f>
        <v>0</v>
      </c>
      <c r="D4" s="38">
        <v>0</v>
      </c>
      <c r="E4" s="83">
        <v>0</v>
      </c>
      <c r="F4" s="83">
        <v>0</v>
      </c>
      <c r="G4" s="83">
        <f>(F4-E4)+(Q4-P4)</f>
        <v>0</v>
      </c>
      <c r="H4" s="38">
        <v>0</v>
      </c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38">
        <v>0</v>
      </c>
      <c r="P4" s="48"/>
      <c r="Q4" s="48"/>
      <c r="R4" s="48"/>
      <c r="S4" s="48"/>
    </row>
    <row r="5">
      <c r="A5" s="81">
        <v>4</v>
      </c>
      <c r="B5" s="48" t="s">
        <v>1118</v>
      </c>
      <c r="C5" s="83">
        <f>Sum(G5,K5)</f>
        <v>2.2569444444444444e-02</v>
      </c>
      <c r="D5" s="38">
        <v>1</v>
      </c>
      <c r="E5" s="83">
        <v>0</v>
      </c>
      <c r="F5" s="83">
        <v>1.1458333333333333e-02</v>
      </c>
      <c r="G5" s="83">
        <f>(F5-E5)+(Q5-P5)</f>
        <v>1.1458333333333333e-02</v>
      </c>
      <c r="H5" s="38">
        <v>1</v>
      </c>
      <c r="I5" s="83">
        <v>0</v>
      </c>
      <c r="J5" s="83">
        <v>1.1111111111111112e-02</v>
      </c>
      <c r="K5" s="83">
        <f>(J5-I5)+(S5-R5)</f>
        <v>1.1111111111111112e-02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1119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38">
        <v>1</v>
      </c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1120</v>
      </c>
      <c r="C7" s="83">
        <f>Sum(G7,K7)</f>
        <v>9.0277777777777769e-03</v>
      </c>
      <c r="D7" s="38">
        <v>0</v>
      </c>
      <c r="E7" s="83">
        <v>0</v>
      </c>
      <c r="F7" s="83">
        <v>0</v>
      </c>
      <c r="G7" s="83">
        <f>(F7-E7)+(Q7-P7)</f>
        <v>0</v>
      </c>
      <c r="H7" s="38">
        <v>0</v>
      </c>
      <c r="I7" s="83">
        <v>8.3333333333333332e-03</v>
      </c>
      <c r="J7" s="83">
        <v>1.7361111111111112e-02</v>
      </c>
      <c r="K7" s="83">
        <f>(J7-I7)+(S7-R7)</f>
        <v>9.0277777777777769e-03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1121</v>
      </c>
      <c r="C8" s="83">
        <f>Sum(G8,K8)</f>
        <v>1.6666666666666666e-02</v>
      </c>
      <c r="D8" s="38">
        <v>0</v>
      </c>
      <c r="E8" s="83">
        <v>9.0277777777777769e-03</v>
      </c>
      <c r="F8" s="83">
        <v>1.7361111111111112e-02</v>
      </c>
      <c r="G8" s="83">
        <f>(F8-E8)+(Q8-P8)</f>
        <v>8.3333333333333332e-03</v>
      </c>
      <c r="H8" s="38">
        <v>0</v>
      </c>
      <c r="I8" s="83">
        <v>9.0277777777777769e-03</v>
      </c>
      <c r="J8" s="83">
        <v>1.7361111111111112e-02</v>
      </c>
      <c r="K8" s="83">
        <f>(J8-I8)+(S8-R8)</f>
        <v>8.3333333333333332e-03</v>
      </c>
      <c r="L8" s="48"/>
      <c r="M8" s="38">
        <v>1</v>
      </c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1122</v>
      </c>
      <c r="C9" s="83">
        <f>Sum(G9,K9)</f>
        <v>2.0833333333333332e-02</v>
      </c>
      <c r="D9" s="38">
        <v>1</v>
      </c>
      <c r="E9" s="83">
        <v>0</v>
      </c>
      <c r="F9" s="83">
        <v>1.0069444444444445e-02</v>
      </c>
      <c r="G9" s="83">
        <f>(F9-E9)+(Q9-P9)</f>
        <v>1.0069444444444445e-02</v>
      </c>
      <c r="H9" s="38">
        <v>1</v>
      </c>
      <c r="I9" s="83">
        <v>0</v>
      </c>
      <c r="J9" s="83">
        <v>1.0763888888888889e-02</v>
      </c>
      <c r="K9" s="83">
        <f>(J9-I9)+(S9-R9)</f>
        <v>1.0763888888888889e-02</v>
      </c>
      <c r="L9" s="38">
        <v>4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1123</v>
      </c>
      <c r="C10" s="83">
        <f>Sum(G10,K10)</f>
        <v>1.5625e-02</v>
      </c>
      <c r="D10" s="38">
        <v>1</v>
      </c>
      <c r="E10" s="83">
        <v>0</v>
      </c>
      <c r="F10" s="83">
        <v>4.1666666666666666e-03</v>
      </c>
      <c r="G10" s="83">
        <f>(F10-E10)+(Q10-P10)</f>
        <v>7.2916666666666668e-03</v>
      </c>
      <c r="H10" s="38">
        <v>1</v>
      </c>
      <c r="I10" s="83">
        <v>0</v>
      </c>
      <c r="J10" s="83">
        <v>8.3333333333333332e-03</v>
      </c>
      <c r="K10" s="83">
        <f>(J10-I10)+(S10-R10)</f>
        <v>8.3333333333333332e-03</v>
      </c>
      <c r="L10" s="48"/>
      <c r="M10" s="48"/>
      <c r="N10" s="72"/>
      <c r="O10" s="38">
        <v>1</v>
      </c>
      <c r="P10" s="83">
        <v>1.4236111111111111e-02</v>
      </c>
      <c r="Q10" s="83">
        <v>1.7361111111111112e-02</v>
      </c>
      <c r="R10" s="48"/>
      <c r="S10" s="48"/>
    </row>
    <row r="11">
      <c r="A11" s="81">
        <v>10</v>
      </c>
      <c r="B11" s="48" t="s">
        <v>1124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1125</v>
      </c>
      <c r="C12" s="83">
        <f>Sum(G12,K12)</f>
        <v>1.1805555555555555e-02</v>
      </c>
      <c r="D12" s="38">
        <v>0</v>
      </c>
      <c r="E12" s="83">
        <v>1.1805555555555555e-02</v>
      </c>
      <c r="F12" s="83">
        <v>1.7361111111111112e-02</v>
      </c>
      <c r="G12" s="83">
        <f>(F12-E12)+(Q12-P12)</f>
        <v>5.5555555555555558e-03</v>
      </c>
      <c r="H12" s="38">
        <v>0</v>
      </c>
      <c r="I12" s="83">
        <v>1.1111111111111112e-02</v>
      </c>
      <c r="J12" s="83">
        <v>1.7361111111111112e-02</v>
      </c>
      <c r="K12" s="83">
        <f>(J12-I12)+(S12-R12)</f>
        <v>6.2500000000000003e-03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1126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1127</v>
      </c>
      <c r="C14" s="83">
        <f>Sum(G14,K14)</f>
        <v>0</v>
      </c>
      <c r="D14" s="38">
        <v>0</v>
      </c>
      <c r="E14" s="83">
        <v>0</v>
      </c>
      <c r="F14" s="83">
        <v>0</v>
      </c>
      <c r="G14" s="83">
        <f>(F14-E14)+(Q14-P14)</f>
        <v>0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0</v>
      </c>
      <c r="P14" s="48"/>
      <c r="Q14" s="48"/>
      <c r="R14" s="48"/>
      <c r="S14" s="48"/>
    </row>
    <row r="15">
      <c r="A15" s="81">
        <v>16</v>
      </c>
      <c r="B15" s="48" t="s">
        <v>1128</v>
      </c>
      <c r="C15" s="83">
        <f>Sum(G15,K15)</f>
        <v>1.3888888888888888e-02</v>
      </c>
      <c r="D15" s="38">
        <v>0</v>
      </c>
      <c r="E15" s="83">
        <v>1.0069444444444445e-02</v>
      </c>
      <c r="F15" s="83">
        <v>1.7361111111111112e-02</v>
      </c>
      <c r="G15" s="83">
        <f>(F15-E15)+(Q15-P15)</f>
        <v>7.2916666666666668e-03</v>
      </c>
      <c r="H15" s="38">
        <v>0</v>
      </c>
      <c r="I15" s="83">
        <v>1.0763888888888889e-02</v>
      </c>
      <c r="J15" s="83">
        <v>1.7361111111111112e-02</v>
      </c>
      <c r="K15" s="83">
        <f>(J15-I15)+(S15-R15)</f>
        <v>6.5972222222222222e-03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1129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1130</v>
      </c>
      <c r="C17" s="83">
        <f>Sum(G17,K17)</f>
        <v>1.8055555555555554e-02</v>
      </c>
      <c r="D17" s="38">
        <v>1</v>
      </c>
      <c r="E17" s="83">
        <v>0</v>
      </c>
      <c r="F17" s="83">
        <v>9.0277777777777769e-03</v>
      </c>
      <c r="G17" s="83">
        <f>(F17-E17)+(Q17-P17)</f>
        <v>9.0277777777777769e-03</v>
      </c>
      <c r="H17" s="38">
        <v>1</v>
      </c>
      <c r="I17" s="83">
        <v>0</v>
      </c>
      <c r="J17" s="83">
        <v>9.0277777777777769e-03</v>
      </c>
      <c r="K17" s="83">
        <f>(J17-I17)+(S17-R17)</f>
        <v>9.0277777777777769e-03</v>
      </c>
      <c r="L17" s="48"/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1131</v>
      </c>
      <c r="L18" s="88"/>
      <c r="M18" s="48"/>
      <c r="N18" s="38">
        <v>0</v>
      </c>
      <c r="O18" s="89">
        <v>1</v>
      </c>
      <c r="P18" s="72"/>
      <c r="Q18" s="72"/>
      <c r="S18" s="72"/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1132</v>
      </c>
      <c r="B1" s="9" t="s">
        <v>1133</v>
      </c>
      <c r="C1" s="9" t="s">
        <v>1134</v>
      </c>
      <c r="D1" s="9" t="s">
        <v>1135</v>
      </c>
      <c r="E1" s="9" t="s">
        <v>1136</v>
      </c>
      <c r="F1" s="9" t="s">
        <v>1137</v>
      </c>
      <c r="G1" s="9" t="s">
        <v>1138</v>
      </c>
      <c r="H1" s="9" t="s">
        <v>1139</v>
      </c>
      <c r="I1" s="9" t="s">
        <v>1140</v>
      </c>
      <c r="J1" s="9" t="s">
        <v>1141</v>
      </c>
      <c r="K1" s="9" t="s">
        <v>1142</v>
      </c>
      <c r="L1" s="9" t="s">
        <v>1143</v>
      </c>
      <c r="M1" s="9" t="s">
        <v>1144</v>
      </c>
      <c r="N1" s="9" t="s">
        <v>1145</v>
      </c>
      <c r="O1" s="9" t="s">
        <v>1146</v>
      </c>
      <c r="P1" s="9" t="s">
        <v>1147</v>
      </c>
      <c r="Q1" s="9" t="s">
        <v>1148</v>
      </c>
      <c r="R1" s="9" t="s">
        <v>1149</v>
      </c>
      <c r="S1" s="9" t="s">
        <v>1150</v>
      </c>
    </row>
    <row r="2">
      <c r="A2" s="81">
        <v>1</v>
      </c>
      <c r="B2" s="48" t="s">
        <v>1151</v>
      </c>
      <c r="C2" s="83">
        <f>Sum(G2,K2)</f>
        <v>1.7361111111111112e-02</v>
      </c>
      <c r="D2" s="38">
        <v>1</v>
      </c>
      <c r="E2" s="83">
        <v>0</v>
      </c>
      <c r="F2" s="83">
        <v>1.0416666666666666e-02</v>
      </c>
      <c r="G2" s="83">
        <f>(F2-E2)+(Q2-P2)</f>
        <v>1.0416666666666666e-02</v>
      </c>
      <c r="H2" s="38">
        <v>0</v>
      </c>
      <c r="I2" s="83">
        <v>1.0416666666666666e-02</v>
      </c>
      <c r="J2" s="83">
        <v>1.7361111111111112e-02</v>
      </c>
      <c r="K2" s="83">
        <f>(J2-I2)+(S2-R2)</f>
        <v>6.9444444444444441e-03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1152</v>
      </c>
      <c r="C3" s="83">
        <f>Sum(G3,K3)</f>
        <v>1.2500000000000001e-02</v>
      </c>
      <c r="D3" s="38">
        <v>0</v>
      </c>
      <c r="E3" s="83">
        <v>1.1111111111111112e-02</v>
      </c>
      <c r="F3" s="83">
        <v>1.7361111111111112e-02</v>
      </c>
      <c r="G3" s="83">
        <f>(F3-E3)+(Q3-P3)</f>
        <v>6.2500000000000003e-03</v>
      </c>
      <c r="H3" s="38">
        <v>0</v>
      </c>
      <c r="I3" s="83">
        <v>1.1111111111111112e-02</v>
      </c>
      <c r="J3" s="83">
        <v>1.7361111111111112e-02</v>
      </c>
      <c r="K3" s="83">
        <f>(J3-I3)+(S3-R3)</f>
        <v>6.2500000000000003e-03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1153</v>
      </c>
      <c r="C4" s="83">
        <f>Sum(G4,K4)</f>
        <v>1.7361111111111112e-02</v>
      </c>
      <c r="D4" s="38">
        <v>1</v>
      </c>
      <c r="E4" s="83">
        <v>0</v>
      </c>
      <c r="F4" s="83">
        <v>9.0277777777777769e-03</v>
      </c>
      <c r="G4" s="83">
        <f>(F4-E4)+(Q4-P4)</f>
        <v>9.0277777777777769e-03</v>
      </c>
      <c r="H4" s="38">
        <v>0</v>
      </c>
      <c r="I4" s="83">
        <v>9.0277777777777769e-03</v>
      </c>
      <c r="J4" s="83">
        <v>1.7361111111111112e-02</v>
      </c>
      <c r="K4" s="83">
        <f>(J4-I4)+(S4-R4)</f>
        <v>8.3333333333333332e-03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1154</v>
      </c>
      <c r="C5" s="83">
        <f>Sum(G5,K5)</f>
        <v>0</v>
      </c>
      <c r="D5" s="38">
        <v>0</v>
      </c>
      <c r="E5" s="83">
        <v>0</v>
      </c>
      <c r="F5" s="83">
        <v>0</v>
      </c>
      <c r="G5" s="83">
        <f>(F5-E5)+(Q5-P5)</f>
        <v>0</v>
      </c>
      <c r="H5" s="38">
        <v>0</v>
      </c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38">
        <v>0</v>
      </c>
      <c r="P5" s="48"/>
      <c r="Q5" s="48"/>
      <c r="R5" s="48"/>
      <c r="S5" s="48"/>
    </row>
    <row r="6">
      <c r="A6" s="81">
        <v>5</v>
      </c>
      <c r="B6" s="48" t="s">
        <v>1155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1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1156</v>
      </c>
      <c r="C7" s="83">
        <f>Sum(G7,K7)</f>
        <v>1.7361111111111112e-02</v>
      </c>
      <c r="D7" s="38">
        <v>0</v>
      </c>
      <c r="E7" s="83">
        <v>9.0277777777777769e-03</v>
      </c>
      <c r="F7" s="83">
        <v>1.7361111111111112e-02</v>
      </c>
      <c r="G7" s="83">
        <f>(F7-E7)+(Q7-P7)</f>
        <v>8.3333333333333332e-03</v>
      </c>
      <c r="H7" s="38">
        <v>1</v>
      </c>
      <c r="I7" s="83">
        <v>0</v>
      </c>
      <c r="J7" s="83">
        <v>9.0277777777777769e-03</v>
      </c>
      <c r="K7" s="83">
        <f>(J7-I7)+(S7-R7)</f>
        <v>9.0277777777777769e-03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1157</v>
      </c>
      <c r="C8" s="83">
        <f>Sum(G8,K8)</f>
        <v>1.8055555555555554e-02</v>
      </c>
      <c r="D8" s="38">
        <v>0</v>
      </c>
      <c r="E8" s="83">
        <v>0</v>
      </c>
      <c r="F8" s="83">
        <v>8.3333333333333332e-03</v>
      </c>
      <c r="G8" s="83">
        <f>(F8-E8)+(Q8-P8)</f>
        <v>8.3333333333333332e-03</v>
      </c>
      <c r="H8" s="38">
        <v>1</v>
      </c>
      <c r="I8" s="83">
        <v>0</v>
      </c>
      <c r="J8" s="83">
        <v>9.7222222222222224e-03</v>
      </c>
      <c r="K8" s="83">
        <f>(J8-I8)+(S8-R8)</f>
        <v>9.7222222222222224e-03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1158</v>
      </c>
      <c r="C9" s="83">
        <f>Sum(G9,K9)</f>
        <v>1.9444444444444445e-02</v>
      </c>
      <c r="D9" s="38">
        <v>1</v>
      </c>
      <c r="E9" s="83">
        <v>0</v>
      </c>
      <c r="F9" s="83">
        <v>1.0416666666666666e-02</v>
      </c>
      <c r="G9" s="83">
        <f>(F9-E9)+(Q9-P9)</f>
        <v>1.0416666666666666e-02</v>
      </c>
      <c r="H9" s="38">
        <v>0</v>
      </c>
      <c r="I9" s="83">
        <v>8.3333333333333332e-03</v>
      </c>
      <c r="J9" s="83">
        <v>1.7361111111111112e-02</v>
      </c>
      <c r="K9" s="83">
        <f>(J9-I9)+(S9-R9)</f>
        <v>9.0277777777777769e-03</v>
      </c>
      <c r="L9" s="48"/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1159</v>
      </c>
      <c r="C10" s="83">
        <f>Sum(G10,K10)</f>
        <v>0</v>
      </c>
      <c r="D10" s="38">
        <v>0</v>
      </c>
      <c r="E10" s="83">
        <v>0</v>
      </c>
      <c r="F10" s="83">
        <v>0</v>
      </c>
      <c r="G10" s="83">
        <f>(F10-E10)+(Q10-P10)</f>
        <v>0</v>
      </c>
      <c r="H10" s="38">
        <v>0</v>
      </c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38">
        <v>0</v>
      </c>
      <c r="P10" s="48"/>
      <c r="Q10" s="48"/>
      <c r="R10" s="48"/>
      <c r="S10" s="48"/>
    </row>
    <row r="11">
      <c r="A11" s="81">
        <v>10</v>
      </c>
      <c r="B11" s="48" t="s">
        <v>1160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1161</v>
      </c>
      <c r="C12" s="83">
        <f>Sum(G12,K12)</f>
        <v>1.7361111111111112e-02</v>
      </c>
      <c r="D12" s="38">
        <v>0</v>
      </c>
      <c r="E12" s="83">
        <v>1.0416666666666666e-02</v>
      </c>
      <c r="F12" s="83">
        <v>1.7361111111111112e-02</v>
      </c>
      <c r="G12" s="83">
        <f>(F12-E12)+(Q12-P12)</f>
        <v>6.9444444444444441e-03</v>
      </c>
      <c r="H12" s="38">
        <v>1</v>
      </c>
      <c r="I12" s="83">
        <v>0</v>
      </c>
      <c r="J12" s="83">
        <v>1.0416666666666666e-02</v>
      </c>
      <c r="K12" s="83">
        <f>(J12-I12)+(S12-R12)</f>
        <v>1.0416666666666666e-02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1162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38">
        <v>1</v>
      </c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1163</v>
      </c>
      <c r="C14" s="83">
        <f>Sum(G14,K14)</f>
        <v>1.8055555555555554e-02</v>
      </c>
      <c r="D14" s="38">
        <v>1</v>
      </c>
      <c r="E14" s="83">
        <v>0</v>
      </c>
      <c r="F14" s="83">
        <v>8.3333333333333332e-03</v>
      </c>
      <c r="G14" s="83">
        <f>(F14-E14)+(Q14-P14)</f>
        <v>8.3333333333333332e-03</v>
      </c>
      <c r="H14" s="38">
        <v>0</v>
      </c>
      <c r="I14" s="83">
        <v>0</v>
      </c>
      <c r="J14" s="83">
        <v>9.7222222222222224e-03</v>
      </c>
      <c r="K14" s="83">
        <f>(J14-I14)+(S14-R14)</f>
        <v>9.7222222222222224e-03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1164</v>
      </c>
      <c r="C15" s="83">
        <f>Sum(G15,K15)</f>
        <v>1.5277777777777777e-02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1</v>
      </c>
      <c r="I15" s="83">
        <v>0</v>
      </c>
      <c r="J15" s="83">
        <v>8.3333333333333332e-03</v>
      </c>
      <c r="K15" s="83">
        <f>(J15-I15)+(S15-R15)</f>
        <v>8.3333333333333332e-03</v>
      </c>
      <c r="L15" s="38">
        <v>1</v>
      </c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1165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1166</v>
      </c>
      <c r="C17" s="83">
        <f>Sum(G17,K17)</f>
        <v>2.2222222222222223e-02</v>
      </c>
      <c r="D17" s="38">
        <v>1</v>
      </c>
      <c r="E17" s="83">
        <v>0</v>
      </c>
      <c r="F17" s="83">
        <v>1.1111111111111112e-02</v>
      </c>
      <c r="G17" s="83">
        <f>(F17-E17)+(Q17-P17)</f>
        <v>1.1111111111111112e-02</v>
      </c>
      <c r="H17" s="38">
        <v>1</v>
      </c>
      <c r="I17" s="83">
        <v>0</v>
      </c>
      <c r="J17" s="83">
        <v>1.1111111111111112e-02</v>
      </c>
      <c r="K17" s="83">
        <f>(J17-I17)+(S17-R17)</f>
        <v>1.1111111111111112e-02</v>
      </c>
      <c r="L17" s="48"/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G18" s="92" t="s">
        <v>1167</v>
      </c>
      <c r="H18" s="95"/>
      <c r="I18" s="94" t="s">
        <v>1168</v>
      </c>
      <c r="J18" s="93">
        <v>1</v>
      </c>
      <c r="K18" s="87" t="s">
        <v>1169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1170</v>
      </c>
      <c r="B1" s="9" t="s">
        <v>1171</v>
      </c>
      <c r="C1" s="9" t="s">
        <v>1172</v>
      </c>
      <c r="D1" s="9" t="s">
        <v>1173</v>
      </c>
      <c r="E1" s="9" t="s">
        <v>1174</v>
      </c>
      <c r="F1" s="9" t="s">
        <v>1175</v>
      </c>
      <c r="G1" s="9" t="s">
        <v>1176</v>
      </c>
      <c r="H1" s="9" t="s">
        <v>1177</v>
      </c>
      <c r="I1" s="9" t="s">
        <v>1178</v>
      </c>
      <c r="J1" s="9" t="s">
        <v>1179</v>
      </c>
      <c r="K1" s="9" t="s">
        <v>1180</v>
      </c>
      <c r="L1" s="9" t="s">
        <v>1181</v>
      </c>
      <c r="M1" s="9" t="s">
        <v>1182</v>
      </c>
      <c r="N1" s="9" t="s">
        <v>1183</v>
      </c>
      <c r="O1" s="9" t="s">
        <v>1184</v>
      </c>
      <c r="P1" s="9" t="s">
        <v>1185</v>
      </c>
      <c r="Q1" s="9" t="s">
        <v>1186</v>
      </c>
      <c r="R1" s="9" t="s">
        <v>1187</v>
      </c>
      <c r="S1" s="9" t="s">
        <v>1188</v>
      </c>
    </row>
    <row r="2">
      <c r="A2" s="81">
        <v>1</v>
      </c>
      <c r="B2" s="48" t="s">
        <v>1189</v>
      </c>
      <c r="C2" s="83">
        <f>Sum(G2,K2)</f>
        <v>1.6666666666666666e-02</v>
      </c>
      <c r="D2" s="38">
        <v>1</v>
      </c>
      <c r="E2" s="83">
        <v>0</v>
      </c>
      <c r="F2" s="83">
        <v>1.0416666666666666e-02</v>
      </c>
      <c r="G2" s="83">
        <f>(F2-E2)+(Q2-P2)</f>
        <v>1.0416666666666666e-02</v>
      </c>
      <c r="H2" s="38">
        <v>0</v>
      </c>
      <c r="I2" s="83">
        <v>1.1111111111111112e-02</v>
      </c>
      <c r="J2" s="83">
        <v>1.7361111111111112e-02</v>
      </c>
      <c r="K2" s="83">
        <f>(J2-I2)+(S2-R2)</f>
        <v>6.2500000000000003e-03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1190</v>
      </c>
      <c r="C3" s="83">
        <f>Sum(G3,K3)</f>
        <v>0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0</v>
      </c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38">
        <v>0</v>
      </c>
      <c r="P3" s="48"/>
      <c r="Q3" s="48"/>
      <c r="R3" s="48"/>
      <c r="S3" s="48"/>
    </row>
    <row r="4">
      <c r="A4" s="81">
        <v>3</v>
      </c>
      <c r="B4" s="48" t="s">
        <v>1191</v>
      </c>
      <c r="C4" s="83">
        <f>Sum(G4,K4)</f>
        <v>3.4722222222222224e-02</v>
      </c>
      <c r="D4" s="38">
        <v>1</v>
      </c>
      <c r="E4" s="83">
        <v>0</v>
      </c>
      <c r="F4" s="83">
        <v>1.7361111111111112e-02</v>
      </c>
      <c r="G4" s="83">
        <f>(F4-E4)+(Q4-P4)</f>
        <v>1.7361111111111112e-02</v>
      </c>
      <c r="H4" s="38">
        <v>1</v>
      </c>
      <c r="I4" s="83">
        <v>0</v>
      </c>
      <c r="J4" s="83">
        <v>1.7361111111111112e-02</v>
      </c>
      <c r="K4" s="83">
        <f>(J4-I4)+(S4-R4)</f>
        <v>1.7361111111111112e-02</v>
      </c>
      <c r="L4" s="38">
        <v>1</v>
      </c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1192</v>
      </c>
      <c r="C5" s="83">
        <f>Sum(G5,K5)</f>
        <v>0</v>
      </c>
      <c r="D5" s="38">
        <v>0</v>
      </c>
      <c r="E5" s="83">
        <v>0</v>
      </c>
      <c r="F5" s="83">
        <v>0</v>
      </c>
      <c r="G5" s="83">
        <f>(F5-E5)+(Q5-P5)</f>
        <v>0</v>
      </c>
      <c r="H5" s="38">
        <v>0</v>
      </c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38">
        <v>0</v>
      </c>
      <c r="P5" s="48"/>
      <c r="Q5" s="48"/>
      <c r="R5" s="48"/>
      <c r="S5" s="48"/>
    </row>
    <row r="6">
      <c r="A6" s="81">
        <v>5</v>
      </c>
      <c r="B6" s="48" t="s">
        <v>1193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1194</v>
      </c>
      <c r="C7" s="83">
        <f>Sum(G7,K7)</f>
        <v>1.9444444444444445e-02</v>
      </c>
      <c r="D7" s="38">
        <v>0</v>
      </c>
      <c r="E7" s="83">
        <v>9.0277777777777769e-03</v>
      </c>
      <c r="F7" s="83">
        <v>1.7361111111111112e-02</v>
      </c>
      <c r="G7" s="83">
        <f>(F7-E7)+(Q7-P7)</f>
        <v>8.3333333333333332e-03</v>
      </c>
      <c r="H7" s="38">
        <v>1</v>
      </c>
      <c r="I7" s="83">
        <v>0</v>
      </c>
      <c r="J7" s="83">
        <v>1.1111111111111112e-02</v>
      </c>
      <c r="K7" s="83">
        <f>(J7-I7)+(S7-R7)</f>
        <v>1.1111111111111112e-02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1195</v>
      </c>
      <c r="C8" s="83">
        <f>Sum(G8,K8)</f>
        <v>2.5347222222222222e-02</v>
      </c>
      <c r="D8" s="38">
        <v>1</v>
      </c>
      <c r="E8" s="83">
        <v>0</v>
      </c>
      <c r="F8" s="83">
        <v>1.7361111111111112e-02</v>
      </c>
      <c r="G8" s="83">
        <f>(F8-E8)+(Q8-P8)</f>
        <v>1.7361111111111112e-02</v>
      </c>
      <c r="H8" s="38">
        <v>0</v>
      </c>
      <c r="I8" s="83">
        <v>9.3749999999999997e-03</v>
      </c>
      <c r="J8" s="83">
        <v>1.7361111111111112e-02</v>
      </c>
      <c r="K8" s="83">
        <f>(J8-I8)+(S8-R8)</f>
        <v>7.9861111111111105e-03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1196</v>
      </c>
      <c r="C9" s="83">
        <f>Sum(G9,K9)</f>
        <v>3.4722222222222224e-02</v>
      </c>
      <c r="D9" s="38">
        <v>1</v>
      </c>
      <c r="E9" s="83">
        <v>0</v>
      </c>
      <c r="F9" s="83">
        <v>1.7361111111111112e-02</v>
      </c>
      <c r="G9" s="83">
        <f>(F9-E9)+(Q9-P9)</f>
        <v>1.7361111111111112e-02</v>
      </c>
      <c r="H9" s="38">
        <v>1</v>
      </c>
      <c r="I9" s="83">
        <v>0</v>
      </c>
      <c r="J9" s="83">
        <v>1.7361111111111112e-02</v>
      </c>
      <c r="K9" s="83">
        <f>(J9-I9)+(S9-R9)</f>
        <v>1.7361111111111112e-02</v>
      </c>
      <c r="L9" s="38">
        <v>2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1197</v>
      </c>
      <c r="C10" s="83">
        <f>Sum(G10,K10)</f>
        <v>2.7777777777777776e-02</v>
      </c>
      <c r="D10" s="38">
        <v>1</v>
      </c>
      <c r="E10" s="83">
        <v>0</v>
      </c>
      <c r="F10" s="83">
        <v>1.0416666666666666e-02</v>
      </c>
      <c r="G10" s="83">
        <f>(F10-E10)+(Q10-P10)</f>
        <v>1.0416666666666666e-02</v>
      </c>
      <c r="H10" s="38">
        <v>1</v>
      </c>
      <c r="I10" s="83">
        <v>0</v>
      </c>
      <c r="J10" s="83">
        <v>1.7361111111111112e-02</v>
      </c>
      <c r="K10" s="83">
        <f>(J10-I10)+(S10-R10)</f>
        <v>1.7361111111111112e-02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1198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1199</v>
      </c>
      <c r="C12" s="83">
        <f>Sum(G12,K12)</f>
        <v>1.8055555555555554e-02</v>
      </c>
      <c r="D12" s="38">
        <v>0</v>
      </c>
      <c r="E12" s="83">
        <v>1.0416666666666666e-02</v>
      </c>
      <c r="F12" s="83">
        <v>1.7361111111111112e-02</v>
      </c>
      <c r="G12" s="83">
        <f>(F12-E12)+(Q12-P12)</f>
        <v>6.9444444444444441e-03</v>
      </c>
      <c r="H12" s="38">
        <v>1</v>
      </c>
      <c r="I12" s="83">
        <v>0</v>
      </c>
      <c r="J12" s="83">
        <v>1.1111111111111112e-02</v>
      </c>
      <c r="K12" s="83">
        <f>(J12-I12)+(S12-R12)</f>
        <v>1.1111111111111112e-02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1200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1201</v>
      </c>
      <c r="C14" s="83">
        <f>Sum(G14,K14)</f>
        <v>1.8402777777777778e-02</v>
      </c>
      <c r="D14" s="38">
        <v>1</v>
      </c>
      <c r="E14" s="83">
        <v>0</v>
      </c>
      <c r="F14" s="83">
        <v>9.0277777777777769e-03</v>
      </c>
      <c r="G14" s="83">
        <f>(F14-E14)+(Q14-P14)</f>
        <v>9.0277777777777769e-03</v>
      </c>
      <c r="H14" s="38">
        <v>1</v>
      </c>
      <c r="I14" s="83">
        <v>0</v>
      </c>
      <c r="J14" s="83">
        <v>9.3749999999999997e-03</v>
      </c>
      <c r="K14" s="83">
        <f>(J14-I14)+(S14-R14)</f>
        <v>9.3749999999999997e-03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1202</v>
      </c>
      <c r="C15" s="83">
        <f>Sum(G15,K15)</f>
        <v>1.3194444444444444e-02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0</v>
      </c>
      <c r="I15" s="83">
        <v>1.1111111111111112e-02</v>
      </c>
      <c r="J15" s="83">
        <v>1.7361111111111112e-02</v>
      </c>
      <c r="K15" s="83">
        <f>(J15-I15)+(S15-R15)</f>
        <v>6.2500000000000003e-03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1203</v>
      </c>
      <c r="C16" s="83">
        <f>Sum(G16,K16)</f>
        <v>0</v>
      </c>
      <c r="D16" s="38">
        <v>0</v>
      </c>
      <c r="E16" s="83">
        <v>0</v>
      </c>
      <c r="F16" s="83">
        <v>0</v>
      </c>
      <c r="G16" s="83">
        <f>(F16-E16)+(Q16-P16)</f>
        <v>0</v>
      </c>
      <c r="H16" s="38">
        <v>0</v>
      </c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38">
        <v>0</v>
      </c>
      <c r="P16" s="48"/>
      <c r="Q16" s="48"/>
      <c r="R16" s="48"/>
      <c r="S16" s="48"/>
    </row>
    <row r="17">
      <c r="A17" s="81">
        <v>22</v>
      </c>
      <c r="B17" s="48" t="s">
        <v>1204</v>
      </c>
      <c r="C17" s="83">
        <f>Sum(G17,K17)</f>
        <v>0</v>
      </c>
      <c r="D17" s="38">
        <v>0</v>
      </c>
      <c r="E17" s="83">
        <v>0</v>
      </c>
      <c r="F17" s="83">
        <v>0</v>
      </c>
      <c r="G17" s="83">
        <f>(F17-E17)+(Q17-P17)</f>
        <v>0</v>
      </c>
      <c r="H17" s="38">
        <v>0</v>
      </c>
      <c r="I17" s="83">
        <v>0</v>
      </c>
      <c r="J17" s="83">
        <v>0</v>
      </c>
      <c r="K17" s="83">
        <f>(J17-I17)+(S17-R17)</f>
        <v>0</v>
      </c>
      <c r="L17" s="48"/>
      <c r="M17" s="48"/>
      <c r="N17" s="72"/>
      <c r="O17" s="38">
        <v>0</v>
      </c>
      <c r="P17" s="48"/>
      <c r="Q17" s="48"/>
      <c r="R17" s="48"/>
      <c r="S17" s="48"/>
    </row>
    <row r="18">
      <c r="A18" s="27"/>
      <c r="B18" s="48"/>
      <c r="C18" s="72"/>
      <c r="K18" s="87" t="s">
        <v>1205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1206</v>
      </c>
      <c r="B1" s="9" t="s">
        <v>1207</v>
      </c>
      <c r="C1" s="9" t="s">
        <v>1208</v>
      </c>
      <c r="D1" s="9" t="s">
        <v>1209</v>
      </c>
      <c r="E1" s="9" t="s">
        <v>1210</v>
      </c>
      <c r="F1" s="9" t="s">
        <v>1211</v>
      </c>
      <c r="G1" s="9" t="s">
        <v>1212</v>
      </c>
      <c r="H1" s="9" t="s">
        <v>1213</v>
      </c>
      <c r="I1" s="9" t="s">
        <v>1214</v>
      </c>
      <c r="J1" s="9" t="s">
        <v>1215</v>
      </c>
      <c r="K1" s="9" t="s">
        <v>1216</v>
      </c>
      <c r="L1" s="9" t="s">
        <v>1217</v>
      </c>
      <c r="M1" s="9" t="s">
        <v>1218</v>
      </c>
      <c r="N1" s="9" t="s">
        <v>1219</v>
      </c>
      <c r="O1" s="9" t="s">
        <v>1220</v>
      </c>
      <c r="P1" s="9" t="s">
        <v>1221</v>
      </c>
      <c r="Q1" s="9" t="s">
        <v>1222</v>
      </c>
      <c r="R1" s="9" t="s">
        <v>1223</v>
      </c>
      <c r="S1" s="9" t="s">
        <v>1224</v>
      </c>
    </row>
    <row r="2">
      <c r="A2" s="81">
        <v>1</v>
      </c>
      <c r="B2" s="48" t="s">
        <v>1225</v>
      </c>
      <c r="C2" s="83">
        <f>Sum(G2,K2)</f>
        <v>1.8055555555555554e-02</v>
      </c>
      <c r="D2" s="38">
        <v>0</v>
      </c>
      <c r="E2" s="83">
        <v>1.0416666666666666e-02</v>
      </c>
      <c r="F2" s="83">
        <v>1.7361111111111112e-02</v>
      </c>
      <c r="G2" s="83">
        <f>(F2-E2)+(Q2-P2)</f>
        <v>6.9444444444444441e-03</v>
      </c>
      <c r="H2" s="38">
        <v>1</v>
      </c>
      <c r="I2" s="83">
        <v>0</v>
      </c>
      <c r="J2" s="83">
        <v>1.1111111111111112e-02</v>
      </c>
      <c r="K2" s="83">
        <f>(J2-I2)+(S2-R2)</f>
        <v>1.1111111111111112e-02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1226</v>
      </c>
      <c r="C3" s="83">
        <f>Sum(G3,K3)</f>
        <v>0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0</v>
      </c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38">
        <v>0</v>
      </c>
      <c r="P3" s="48"/>
      <c r="Q3" s="48"/>
      <c r="R3" s="48"/>
      <c r="S3" s="48"/>
    </row>
    <row r="4">
      <c r="A4" s="81">
        <v>3</v>
      </c>
      <c r="B4" s="48" t="s">
        <v>1227</v>
      </c>
      <c r="C4" s="83">
        <f>Sum(G4,K4)</f>
        <v>1.3194444444444444e-02</v>
      </c>
      <c r="D4" s="38">
        <v>0</v>
      </c>
      <c r="E4" s="83">
        <v>1.0416666666666666e-02</v>
      </c>
      <c r="F4" s="83">
        <v>1.7361111111111112e-02</v>
      </c>
      <c r="G4" s="83">
        <f>(F4-E4)+(Q4-P4)</f>
        <v>6.9444444444444441e-03</v>
      </c>
      <c r="H4" s="38">
        <v>0</v>
      </c>
      <c r="I4" s="83">
        <v>1.1111111111111112e-02</v>
      </c>
      <c r="J4" s="83">
        <v>1.7361111111111112e-02</v>
      </c>
      <c r="K4" s="83">
        <f>(J4-I4)+(S4-R4)</f>
        <v>6.2500000000000003e-03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1228</v>
      </c>
      <c r="C5" s="83">
        <f>Sum(G5,K5)</f>
        <v>1.2500000000000001e-02</v>
      </c>
      <c r="D5" s="38">
        <v>0</v>
      </c>
      <c r="E5" s="83">
        <v>1.1111111111111112e-02</v>
      </c>
      <c r="F5" s="83">
        <v>1.7361111111111112e-02</v>
      </c>
      <c r="G5" s="83">
        <f>(F5-E5)+(Q5-P5)</f>
        <v>6.2500000000000003e-03</v>
      </c>
      <c r="H5" s="38">
        <v>1</v>
      </c>
      <c r="I5" s="83">
        <v>0</v>
      </c>
      <c r="J5" s="83">
        <v>6.2500000000000003e-03</v>
      </c>
      <c r="K5" s="83">
        <f>(J5-I5)+(S5-R5)</f>
        <v>6.2500000000000003e-03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1229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1230</v>
      </c>
      <c r="C7" s="83">
        <f>Sum(G7,K7)</f>
        <v>1.2500000000000001e-02</v>
      </c>
      <c r="D7" s="38">
        <v>0</v>
      </c>
      <c r="E7" s="83">
        <v>1.1111111111111112e-02</v>
      </c>
      <c r="F7" s="83">
        <v>1.7361111111111112e-02</v>
      </c>
      <c r="G7" s="83">
        <f>(F7-E7)+(Q7-P7)</f>
        <v>6.2500000000000003e-03</v>
      </c>
      <c r="H7" s="38">
        <v>0</v>
      </c>
      <c r="I7" s="83">
        <v>1.1111111111111112e-02</v>
      </c>
      <c r="J7" s="83">
        <v>1.7361111111111112e-02</v>
      </c>
      <c r="K7" s="83">
        <f>(J7-I7)+(S7-R7)</f>
        <v>6.2500000000000003e-03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1231</v>
      </c>
      <c r="C8" s="83">
        <f>Sum(G8,K8)</f>
        <v>2.2222222222222223e-02</v>
      </c>
      <c r="D8" s="38">
        <v>1</v>
      </c>
      <c r="E8" s="83">
        <v>0</v>
      </c>
      <c r="F8" s="83">
        <v>1.1111111111111112e-02</v>
      </c>
      <c r="G8" s="83">
        <f>(F8-E8)+(Q8-P8)</f>
        <v>1.1111111111111112e-02</v>
      </c>
      <c r="H8" s="38">
        <v>1</v>
      </c>
      <c r="I8" s="83">
        <v>0</v>
      </c>
      <c r="J8" s="83">
        <v>1.1111111111111112e-02</v>
      </c>
      <c r="K8" s="83">
        <f>(J8-I8)+(S8-R8)</f>
        <v>1.1111111111111112e-02</v>
      </c>
      <c r="L8" s="38">
        <v>1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1232</v>
      </c>
      <c r="C9" s="83">
        <f>Sum(G9,K9)</f>
        <v>1.9444444444444445e-02</v>
      </c>
      <c r="D9" s="38">
        <v>1</v>
      </c>
      <c r="E9" s="83">
        <v>0</v>
      </c>
      <c r="F9" s="83">
        <v>8.6805555555555559e-03</v>
      </c>
      <c r="G9" s="83">
        <f>(F9-E9)+(Q9-P9)</f>
        <v>8.6805555555555559e-03</v>
      </c>
      <c r="H9" s="38">
        <v>1</v>
      </c>
      <c r="I9" s="83">
        <v>0</v>
      </c>
      <c r="J9" s="83">
        <v>1.0763888888888889e-02</v>
      </c>
      <c r="K9" s="83">
        <f>(J9-I9)+(S9-R9)</f>
        <v>1.0763888888888889e-02</v>
      </c>
      <c r="L9" s="38">
        <v>4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1233</v>
      </c>
      <c r="C10" s="83">
        <f>Sum(G10,K10)</f>
        <v>2.2222222222222223e-02</v>
      </c>
      <c r="D10" s="38">
        <v>1</v>
      </c>
      <c r="E10" s="83">
        <v>0</v>
      </c>
      <c r="F10" s="83">
        <v>1.1111111111111112e-02</v>
      </c>
      <c r="G10" s="83">
        <f>(F10-E10)+(Q10-P10)</f>
        <v>1.1111111111111112e-02</v>
      </c>
      <c r="H10" s="38">
        <v>0</v>
      </c>
      <c r="I10" s="83">
        <v>6.2500000000000003e-03</v>
      </c>
      <c r="J10" s="83">
        <v>1.7361111111111112e-02</v>
      </c>
      <c r="K10" s="83">
        <f>(J10-I10)+(S10-R10)</f>
        <v>1.1111111111111112e-02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1234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1235</v>
      </c>
      <c r="C12" s="83">
        <f>Sum(G12,K12)</f>
        <v>1.6666666666666666e-02</v>
      </c>
      <c r="D12" s="38">
        <v>1</v>
      </c>
      <c r="E12" s="83">
        <v>0</v>
      </c>
      <c r="F12" s="83">
        <v>1.0416666666666666e-02</v>
      </c>
      <c r="G12" s="83">
        <f>(F12-E12)+(Q12-P12)</f>
        <v>1.0416666666666666e-02</v>
      </c>
      <c r="H12" s="38">
        <v>0</v>
      </c>
      <c r="I12" s="83">
        <v>1.1111111111111112e-02</v>
      </c>
      <c r="J12" s="83">
        <v>1.7361111111111112e-02</v>
      </c>
      <c r="K12" s="83">
        <f>(J12-I12)+(S12-R12)</f>
        <v>6.2500000000000003e-03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1236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1237</v>
      </c>
      <c r="C14" s="83">
        <f>Sum(G14,K14)</f>
        <v>0</v>
      </c>
      <c r="D14" s="38">
        <v>0</v>
      </c>
      <c r="E14" s="83">
        <v>0</v>
      </c>
      <c r="F14" s="83">
        <v>0</v>
      </c>
      <c r="G14" s="83">
        <f>(F14-E14)+(Q14-P14)</f>
        <v>0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0</v>
      </c>
      <c r="P14" s="48"/>
      <c r="Q14" s="48"/>
      <c r="R14" s="48"/>
      <c r="S14" s="48"/>
    </row>
    <row r="15">
      <c r="A15" s="81">
        <v>16</v>
      </c>
      <c r="B15" s="48" t="s">
        <v>1238</v>
      </c>
      <c r="C15" s="83">
        <f>Sum(G15,K15)</f>
        <v>1.5277777777777777e-02</v>
      </c>
      <c r="D15" s="38">
        <v>0</v>
      </c>
      <c r="E15" s="83">
        <v>8.6805555555555559e-03</v>
      </c>
      <c r="F15" s="83">
        <v>1.7361111111111112e-02</v>
      </c>
      <c r="G15" s="83">
        <f>(F15-E15)+(Q15-P15)</f>
        <v>8.6805555555555559e-03</v>
      </c>
      <c r="H15" s="38">
        <v>0</v>
      </c>
      <c r="I15" s="83">
        <v>1.0763888888888889e-02</v>
      </c>
      <c r="J15" s="83">
        <v>1.7361111111111112e-02</v>
      </c>
      <c r="K15" s="83">
        <f>(J15-I15)+(S15-R15)</f>
        <v>6.5972222222222222e-03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1239</v>
      </c>
      <c r="C16" s="83">
        <f>Sum(G16,K16)</f>
        <v>2.7777777777777776e-02</v>
      </c>
      <c r="D16" s="38">
        <v>1</v>
      </c>
      <c r="E16" s="83">
        <v>0</v>
      </c>
      <c r="F16" s="83">
        <v>1.0416666666666666e-02</v>
      </c>
      <c r="G16" s="83">
        <f>(F16-E16)+(Q16-P16)</f>
        <v>1.0416666666666666e-02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1240</v>
      </c>
      <c r="C17" s="83">
        <f>Sum(G17,K17)</f>
        <v>2.8472222222222222e-02</v>
      </c>
      <c r="D17" s="38">
        <v>1</v>
      </c>
      <c r="E17" s="83">
        <v>0</v>
      </c>
      <c r="F17" s="83">
        <v>1.7361111111111112e-02</v>
      </c>
      <c r="G17" s="83">
        <f>(F17-E17)+(Q17-P17)</f>
        <v>1.7361111111111112e-02</v>
      </c>
      <c r="H17" s="38">
        <v>1</v>
      </c>
      <c r="I17" s="83">
        <v>0</v>
      </c>
      <c r="J17" s="83">
        <v>1.1111111111111112e-02</v>
      </c>
      <c r="K17" s="83">
        <f>(J17-I17)+(S17-R17)</f>
        <v>1.1111111111111112e-02</v>
      </c>
      <c r="L17" s="38">
        <v>1</v>
      </c>
      <c r="M17" s="38">
        <v>1</v>
      </c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1241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1242</v>
      </c>
      <c r="B1" s="9" t="s">
        <v>1243</v>
      </c>
      <c r="C1" s="9" t="s">
        <v>1244</v>
      </c>
      <c r="D1" s="9" t="s">
        <v>1245</v>
      </c>
      <c r="E1" s="9" t="s">
        <v>1246</v>
      </c>
      <c r="F1" s="9" t="s">
        <v>1247</v>
      </c>
      <c r="G1" s="9" t="s">
        <v>1248</v>
      </c>
      <c r="H1" s="9" t="s">
        <v>1249</v>
      </c>
      <c r="I1" s="9" t="s">
        <v>1250</v>
      </c>
      <c r="J1" s="9" t="s">
        <v>1251</v>
      </c>
      <c r="K1" s="9" t="s">
        <v>1252</v>
      </c>
      <c r="L1" s="9" t="s">
        <v>1253</v>
      </c>
      <c r="M1" s="9" t="s">
        <v>1254</v>
      </c>
      <c r="N1" s="9" t="s">
        <v>1255</v>
      </c>
      <c r="O1" s="9" t="s">
        <v>1256</v>
      </c>
      <c r="P1" s="9" t="s">
        <v>1257</v>
      </c>
      <c r="Q1" s="9" t="s">
        <v>1258</v>
      </c>
      <c r="R1" s="9" t="s">
        <v>1259</v>
      </c>
      <c r="S1" s="9" t="s">
        <v>1260</v>
      </c>
    </row>
    <row r="2">
      <c r="A2" s="81">
        <v>1</v>
      </c>
      <c r="B2" s="48" t="s">
        <v>1261</v>
      </c>
      <c r="C2" s="83">
        <f>Sum(G2,K2)</f>
        <v>2.1180555555555557e-02</v>
      </c>
      <c r="D2" s="38">
        <v>1</v>
      </c>
      <c r="E2" s="83">
        <v>0</v>
      </c>
      <c r="F2" s="83">
        <v>1.0416666666666666e-02</v>
      </c>
      <c r="G2" s="83">
        <f>(F2-E2)+(Q2-P2)</f>
        <v>1.0416666666666666e-02</v>
      </c>
      <c r="H2" s="38">
        <v>1</v>
      </c>
      <c r="I2" s="83">
        <v>0</v>
      </c>
      <c r="J2" s="83">
        <v>1.0763888888888889e-02</v>
      </c>
      <c r="K2" s="83">
        <f>(J2-I2)+(S2-R2)</f>
        <v>1.0763888888888889e-02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1262</v>
      </c>
      <c r="C3" s="83">
        <f>Sum(G3,K3)</f>
        <v>1.3541666666666667e-02</v>
      </c>
      <c r="D3" s="38">
        <v>0</v>
      </c>
      <c r="E3" s="83">
        <v>1.0416666666666666e-02</v>
      </c>
      <c r="F3" s="83">
        <v>1.7361111111111112e-02</v>
      </c>
      <c r="G3" s="83">
        <f>(F3-E3)+(Q3-P3)</f>
        <v>6.9444444444444441e-03</v>
      </c>
      <c r="H3" s="38">
        <v>0</v>
      </c>
      <c r="I3" s="83">
        <v>1.0763888888888889e-02</v>
      </c>
      <c r="J3" s="83">
        <v>1.7361111111111112e-02</v>
      </c>
      <c r="K3" s="83">
        <f>(J3-I3)+(S3-R3)</f>
        <v>6.5972222222222222e-03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1263</v>
      </c>
      <c r="C4" s="83">
        <f>Sum(G4,K4)</f>
        <v>0</v>
      </c>
      <c r="D4" s="38">
        <v>0</v>
      </c>
      <c r="E4" s="83">
        <v>0</v>
      </c>
      <c r="F4" s="83">
        <v>0</v>
      </c>
      <c r="G4" s="83">
        <f>(F4-E4)+(Q4-P4)</f>
        <v>0</v>
      </c>
      <c r="H4" s="38">
        <v>0</v>
      </c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38">
        <v>0</v>
      </c>
      <c r="P4" s="48"/>
      <c r="Q4" s="48"/>
      <c r="R4" s="48"/>
      <c r="S4" s="48"/>
    </row>
    <row r="5">
      <c r="A5" s="81">
        <v>4</v>
      </c>
      <c r="B5" s="48" t="s">
        <v>1264</v>
      </c>
      <c r="C5" s="83">
        <f>Sum(G5,K5)</f>
        <v>1.4236111111111111e-02</v>
      </c>
      <c r="D5" s="38">
        <v>0</v>
      </c>
      <c r="E5" s="83">
        <v>9.7222222222222224e-03</v>
      </c>
      <c r="F5" s="83">
        <v>1.7361111111111112e-02</v>
      </c>
      <c r="G5" s="83">
        <f>(F5-E5)+(Q5-P5)</f>
        <v>7.6388888888888886e-03</v>
      </c>
      <c r="H5" s="38">
        <v>0</v>
      </c>
      <c r="I5" s="83">
        <v>1.0763888888888889e-02</v>
      </c>
      <c r="J5" s="83">
        <v>1.7361111111111112e-02</v>
      </c>
      <c r="K5" s="83">
        <f>(J5-I5)+(S5-R5)</f>
        <v>6.5972222222222222e-03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1265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3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1266</v>
      </c>
      <c r="C7" s="83">
        <f>Sum(G7,K7)</f>
        <v>1.5277777777777777e-02</v>
      </c>
      <c r="D7" s="38">
        <v>0</v>
      </c>
      <c r="E7" s="83">
        <v>9.7222222222222224e-03</v>
      </c>
      <c r="F7" s="83">
        <v>1.7361111111111112e-02</v>
      </c>
      <c r="G7" s="83">
        <f>(F7-E7)+(Q7-P7)</f>
        <v>7.6388888888888886e-03</v>
      </c>
      <c r="H7" s="38">
        <v>0</v>
      </c>
      <c r="I7" s="83">
        <v>9.7222222222222224e-03</v>
      </c>
      <c r="J7" s="83">
        <v>1.7361111111111112e-02</v>
      </c>
      <c r="K7" s="83">
        <f>(J7-I7)+(S7-R7)</f>
        <v>7.6388888888888886e-03</v>
      </c>
      <c r="L7" s="38">
        <v>1</v>
      </c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1267</v>
      </c>
      <c r="C8" s="83">
        <f>Sum(G8,K8)</f>
        <v>0</v>
      </c>
      <c r="D8" s="38">
        <v>0</v>
      </c>
      <c r="E8" s="83">
        <v>0</v>
      </c>
      <c r="F8" s="83">
        <v>0</v>
      </c>
      <c r="G8" s="83">
        <f>(F8-E8)+(Q8-P8)</f>
        <v>0</v>
      </c>
      <c r="H8" s="38">
        <v>0</v>
      </c>
      <c r="I8" s="83">
        <v>0</v>
      </c>
      <c r="J8" s="83">
        <v>0</v>
      </c>
      <c r="K8" s="83">
        <f>(J8-I8)+(S8-R8)</f>
        <v>0</v>
      </c>
      <c r="L8" s="48"/>
      <c r="M8" s="48"/>
      <c r="N8" s="72"/>
      <c r="O8" s="38">
        <v>0</v>
      </c>
      <c r="P8" s="48"/>
      <c r="Q8" s="48"/>
      <c r="R8" s="48"/>
      <c r="S8" s="48"/>
    </row>
    <row r="9">
      <c r="A9" s="81">
        <v>8</v>
      </c>
      <c r="B9" s="48" t="s">
        <v>1268</v>
      </c>
      <c r="C9" s="83">
        <f>Sum(G9,K9)</f>
        <v>2.013888888888889e-02</v>
      </c>
      <c r="D9" s="38">
        <v>1</v>
      </c>
      <c r="E9" s="83">
        <v>0</v>
      </c>
      <c r="F9" s="83">
        <v>1.0416666666666666e-02</v>
      </c>
      <c r="G9" s="83">
        <f>(F9-E9)+(Q9-P9)</f>
        <v>1.0416666666666666e-02</v>
      </c>
      <c r="H9" s="38">
        <v>1</v>
      </c>
      <c r="I9" s="83">
        <v>0</v>
      </c>
      <c r="J9" s="83">
        <v>9.7222222222222224e-03</v>
      </c>
      <c r="K9" s="83">
        <f>(J9-I9)+(S9-R9)</f>
        <v>9.7222222222222224e-03</v>
      </c>
      <c r="L9" s="48"/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1269</v>
      </c>
      <c r="C10" s="83">
        <f>Sum(G10,K10)</f>
        <v>2.0486111111111111e-02</v>
      </c>
      <c r="D10" s="38">
        <v>1</v>
      </c>
      <c r="E10" s="83">
        <v>0</v>
      </c>
      <c r="F10" s="83">
        <v>9.7222222222222224e-03</v>
      </c>
      <c r="G10" s="83">
        <f>(F10-E10)+(Q10-P10)</f>
        <v>9.7222222222222224e-03</v>
      </c>
      <c r="H10" s="38">
        <v>1</v>
      </c>
      <c r="I10" s="83">
        <v>0</v>
      </c>
      <c r="J10" s="83">
        <v>1.0763888888888889e-02</v>
      </c>
      <c r="K10" s="83">
        <f>(J10-I10)+(S10-R10)</f>
        <v>1.0763888888888889e-02</v>
      </c>
      <c r="L10" s="48"/>
      <c r="M10" s="38">
        <v>1</v>
      </c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1270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1271</v>
      </c>
      <c r="C12" s="83">
        <f>Sum(G12,K12)</f>
        <v>1.3541666666666667e-02</v>
      </c>
      <c r="D12" s="38">
        <v>0</v>
      </c>
      <c r="E12" s="83">
        <v>1.0416666666666666e-02</v>
      </c>
      <c r="F12" s="83">
        <v>1.7361111111111112e-02</v>
      </c>
      <c r="G12" s="83">
        <f>(F12-E12)+(Q12-P12)</f>
        <v>6.9444444444444441e-03</v>
      </c>
      <c r="H12" s="38">
        <v>0</v>
      </c>
      <c r="I12" s="83">
        <v>1.0763888888888889e-02</v>
      </c>
      <c r="J12" s="83">
        <v>1.7361111111111112e-02</v>
      </c>
      <c r="K12" s="83">
        <f>(J12-I12)+(S12-R12)</f>
        <v>6.5972222222222222e-03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1272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1273</v>
      </c>
      <c r="C14" s="83">
        <f>Sum(G14,K14)</f>
        <v>1.9444444444444445e-02</v>
      </c>
      <c r="D14" s="38">
        <v>1</v>
      </c>
      <c r="E14" s="83">
        <v>0</v>
      </c>
      <c r="F14" s="83">
        <v>9.7222222222222224e-03</v>
      </c>
      <c r="G14" s="83">
        <f>(F14-E14)+(Q14-P14)</f>
        <v>9.7222222222222224e-03</v>
      </c>
      <c r="H14" s="38">
        <v>1</v>
      </c>
      <c r="I14" s="83">
        <v>0</v>
      </c>
      <c r="J14" s="83">
        <v>9.7222222222222224e-03</v>
      </c>
      <c r="K14" s="83">
        <f>(J14-I14)+(S14-R14)</f>
        <v>9.7222222222222224e-03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1274</v>
      </c>
      <c r="C15" s="83">
        <f>Sum(G15,K15)</f>
        <v>7.6388888888888886e-03</v>
      </c>
      <c r="D15" s="38">
        <v>0</v>
      </c>
      <c r="E15" s="83">
        <v>1.0416666666666666e-02</v>
      </c>
      <c r="F15" s="83">
        <v>1.0416666666666666e-02</v>
      </c>
      <c r="G15" s="83">
        <f>(F15-E15)+(Q15-P15)</f>
        <v>0</v>
      </c>
      <c r="H15" s="38">
        <v>0</v>
      </c>
      <c r="I15" s="83">
        <v>9.7222222222222224e-03</v>
      </c>
      <c r="J15" s="83">
        <v>1.7361111111111112e-02</v>
      </c>
      <c r="K15" s="83">
        <f>(J15-I15)+(S15-R15)</f>
        <v>7.6388888888888886e-03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1275</v>
      </c>
      <c r="C16" s="83">
        <f>Sum(G16,K16)</f>
        <v>3.125e-02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1.3888888888888888e-02</v>
      </c>
      <c r="K16" s="83">
        <f>(J16-I16)+(S16-R16)</f>
        <v>1.3888888888888888e-02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1276</v>
      </c>
      <c r="C17" s="83">
        <f>Sum(G17,K17)</f>
        <v>2.4652777777777777e-02</v>
      </c>
      <c r="D17" s="38">
        <v>1</v>
      </c>
      <c r="E17" s="83">
        <v>0</v>
      </c>
      <c r="F17" s="83">
        <v>1.0416666666666666e-02</v>
      </c>
      <c r="G17" s="83">
        <f>(F17-E17)+(Q17-P17)</f>
        <v>1.0416666666666666e-02</v>
      </c>
      <c r="H17" s="38">
        <v>1</v>
      </c>
      <c r="I17" s="83">
        <v>0</v>
      </c>
      <c r="J17" s="83">
        <v>1.0763888888888889e-02</v>
      </c>
      <c r="K17" s="83">
        <f>(J17-I17)+(S17-R17)</f>
        <v>1.4236111111111111e-02</v>
      </c>
      <c r="L17" s="38">
        <v>1</v>
      </c>
      <c r="M17" s="38">
        <v>1</v>
      </c>
      <c r="N17" s="72"/>
      <c r="O17" s="38">
        <v>1</v>
      </c>
      <c r="P17" s="48"/>
      <c r="Q17" s="48"/>
      <c r="R17" s="83">
        <v>1.3888888888888888e-02</v>
      </c>
      <c r="S17" s="83">
        <v>1.7361111111111112e-02</v>
      </c>
    </row>
    <row r="18">
      <c r="A18" s="27"/>
      <c r="B18" s="48"/>
      <c r="C18" s="72"/>
      <c r="K18" s="87" t="s">
        <v>1277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1278</v>
      </c>
      <c r="B1" s="9" t="s">
        <v>1279</v>
      </c>
      <c r="C1" s="9" t="s">
        <v>1280</v>
      </c>
      <c r="D1" s="9" t="s">
        <v>1281</v>
      </c>
      <c r="E1" s="9" t="s">
        <v>1282</v>
      </c>
      <c r="F1" s="9" t="s">
        <v>1283</v>
      </c>
      <c r="G1" s="9" t="s">
        <v>1284</v>
      </c>
      <c r="H1" s="9" t="s">
        <v>1285</v>
      </c>
      <c r="I1" s="9" t="s">
        <v>1286</v>
      </c>
      <c r="J1" s="9" t="s">
        <v>1287</v>
      </c>
      <c r="K1" s="9" t="s">
        <v>1288</v>
      </c>
      <c r="L1" s="9" t="s">
        <v>1289</v>
      </c>
      <c r="M1" s="9" t="s">
        <v>1290</v>
      </c>
      <c r="N1" s="9" t="s">
        <v>1291</v>
      </c>
      <c r="O1" s="9" t="s">
        <v>1292</v>
      </c>
      <c r="P1" s="9" t="s">
        <v>1293</v>
      </c>
      <c r="Q1" s="9" t="s">
        <v>1294</v>
      </c>
      <c r="R1" s="9" t="s">
        <v>1295</v>
      </c>
      <c r="S1" s="9" t="s">
        <v>1296</v>
      </c>
    </row>
    <row r="2">
      <c r="A2" s="81">
        <v>1</v>
      </c>
      <c r="B2" s="48" t="s">
        <v>1297</v>
      </c>
      <c r="C2" s="83">
        <f>Sum(G2,K2)</f>
        <v>1.5277777777777777e-02</v>
      </c>
      <c r="D2" s="38">
        <v>0</v>
      </c>
      <c r="E2" s="83">
        <v>1.0416666666666666e-02</v>
      </c>
      <c r="F2" s="83">
        <v>1.7361111111111112e-02</v>
      </c>
      <c r="G2" s="83">
        <f>(F2-E2)+(Q2-P2)</f>
        <v>6.9444444444444441e-03</v>
      </c>
      <c r="H2" s="38">
        <v>0</v>
      </c>
      <c r="I2" s="83">
        <v>9.0277777777777769e-03</v>
      </c>
      <c r="J2" s="83">
        <v>1.7361111111111112e-02</v>
      </c>
      <c r="K2" s="83">
        <f>(J2-I2)+(S2-R2)</f>
        <v>8.3333333333333332e-03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1298</v>
      </c>
      <c r="C3" s="83">
        <f>Sum(G3,K3)</f>
        <v>1.5972222222222221e-02</v>
      </c>
      <c r="D3" s="38">
        <v>0</v>
      </c>
      <c r="E3" s="83">
        <v>9.7222222222222224e-03</v>
      </c>
      <c r="F3" s="83">
        <v>1.7361111111111112e-02</v>
      </c>
      <c r="G3" s="83">
        <f>(F3-E3)+(Q3-P3)</f>
        <v>7.6388888888888886e-03</v>
      </c>
      <c r="H3" s="38">
        <v>0</v>
      </c>
      <c r="I3" s="83">
        <v>9.0277777777777769e-03</v>
      </c>
      <c r="J3" s="83">
        <v>1.7361111111111112e-02</v>
      </c>
      <c r="K3" s="83">
        <f>(J3-I3)+(S3-R3)</f>
        <v>8.3333333333333332e-03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1299</v>
      </c>
      <c r="C4" s="83">
        <f>Sum(G4,K4)</f>
        <v>3.1944444444444442e-02</v>
      </c>
      <c r="D4" s="38">
        <v>1</v>
      </c>
      <c r="E4" s="83">
        <v>0</v>
      </c>
      <c r="F4" s="83">
        <v>1.7361111111111112e-02</v>
      </c>
      <c r="G4" s="83">
        <f>(F4-E4)+(Q4-P4)</f>
        <v>1.7361111111111112e-02</v>
      </c>
      <c r="H4" s="38">
        <v>1</v>
      </c>
      <c r="I4" s="83">
        <v>0</v>
      </c>
      <c r="J4" s="83">
        <v>1.4583333333333334e-02</v>
      </c>
      <c r="K4" s="83">
        <f>(J4-I4)+(S4-R4)</f>
        <v>1.4583333333333334e-02</v>
      </c>
      <c r="L4" s="38">
        <v>1</v>
      </c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1300</v>
      </c>
      <c r="C5" s="83">
        <f>Sum(G5,K5)</f>
        <v>1.8749999999999999e-02</v>
      </c>
      <c r="D5" s="38">
        <v>1</v>
      </c>
      <c r="E5" s="83">
        <v>0</v>
      </c>
      <c r="F5" s="83">
        <v>9.7222222222222224e-03</v>
      </c>
      <c r="G5" s="83">
        <f>(F5-E5)+(Q5-P5)</f>
        <v>9.7222222222222224e-03</v>
      </c>
      <c r="H5" s="38">
        <v>1</v>
      </c>
      <c r="I5" s="83">
        <v>0</v>
      </c>
      <c r="J5" s="83">
        <v>9.0277777777777769e-03</v>
      </c>
      <c r="K5" s="83">
        <f>(J5-I5)+(S5-R5)</f>
        <v>9.0277777777777769e-03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1301</v>
      </c>
      <c r="C6" s="83">
        <f>Sum(G6,K6)</f>
        <v>0</v>
      </c>
      <c r="D6" s="38">
        <v>0</v>
      </c>
      <c r="E6" s="83">
        <v>0</v>
      </c>
      <c r="F6" s="83">
        <v>0</v>
      </c>
      <c r="G6" s="83">
        <f>(F6-E6)+(Q6-P6)</f>
        <v>0</v>
      </c>
      <c r="H6" s="38">
        <v>0</v>
      </c>
      <c r="I6" s="83">
        <v>0</v>
      </c>
      <c r="J6" s="83">
        <v>0</v>
      </c>
      <c r="K6" s="83">
        <f>(J6-I6)+(S6-R6)</f>
        <v>0</v>
      </c>
      <c r="L6" s="48"/>
      <c r="M6" s="48"/>
      <c r="N6" s="72"/>
      <c r="O6" s="38">
        <v>0</v>
      </c>
      <c r="P6" s="48"/>
      <c r="Q6" s="48"/>
      <c r="R6" s="48"/>
      <c r="S6" s="48"/>
    </row>
    <row r="7">
      <c r="A7" s="81">
        <v>6</v>
      </c>
      <c r="B7" s="48" t="s">
        <v>1302</v>
      </c>
      <c r="C7" s="83">
        <f>Sum(G7,K7)</f>
        <v>1.5972222222222221e-02</v>
      </c>
      <c r="D7" s="38">
        <v>0</v>
      </c>
      <c r="E7" s="83">
        <v>9.7222222222222224e-03</v>
      </c>
      <c r="F7" s="83">
        <v>1.7361111111111112e-02</v>
      </c>
      <c r="G7" s="83">
        <f>(F7-E7)+(Q7-P7)</f>
        <v>7.6388888888888886e-03</v>
      </c>
      <c r="H7" s="38">
        <v>0</v>
      </c>
      <c r="I7" s="83">
        <v>9.0277777777777769e-03</v>
      </c>
      <c r="J7" s="83">
        <v>1.7361111111111112e-02</v>
      </c>
      <c r="K7" s="83">
        <f>(J7-I7)+(S7-R7)</f>
        <v>8.3333333333333332e-03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1303</v>
      </c>
      <c r="C8" s="83">
        <f>Sum(G8,K8)</f>
        <v>2.2916666666666665e-02</v>
      </c>
      <c r="D8" s="38">
        <v>1</v>
      </c>
      <c r="E8" s="83">
        <v>0</v>
      </c>
      <c r="F8" s="83">
        <v>9.7222222222222224e-03</v>
      </c>
      <c r="G8" s="83">
        <f>(F8-E8)+(Q8-P8)</f>
        <v>9.7222222222222224e-03</v>
      </c>
      <c r="H8" s="38">
        <v>1</v>
      </c>
      <c r="I8" s="83">
        <v>0</v>
      </c>
      <c r="J8" s="83">
        <v>9.7222222222222224e-03</v>
      </c>
      <c r="K8" s="83">
        <f>(J8-I8)+(S8-R8)</f>
        <v>1.3194444444444444e-02</v>
      </c>
      <c r="L8" s="48"/>
      <c r="M8" s="48"/>
      <c r="N8" s="72"/>
      <c r="O8" s="38">
        <v>1</v>
      </c>
      <c r="P8" s="48"/>
      <c r="Q8" s="48"/>
      <c r="R8" s="83">
        <v>1.3888888888888888e-02</v>
      </c>
      <c r="S8" s="83">
        <v>1.7361111111111112e-02</v>
      </c>
    </row>
    <row r="9">
      <c r="A9" s="81">
        <v>8</v>
      </c>
      <c r="B9" s="48" t="s">
        <v>1304</v>
      </c>
      <c r="C9" s="83">
        <f>Sum(G9,K9)</f>
        <v>0</v>
      </c>
      <c r="D9" s="38">
        <v>0</v>
      </c>
      <c r="E9" s="83">
        <v>0</v>
      </c>
      <c r="F9" s="83">
        <v>0</v>
      </c>
      <c r="G9" s="83">
        <f>(F9-E9)+(Q9-P9)</f>
        <v>0</v>
      </c>
      <c r="H9" s="38">
        <v>0</v>
      </c>
      <c r="I9" s="83">
        <v>0</v>
      </c>
      <c r="J9" s="83">
        <v>0</v>
      </c>
      <c r="K9" s="83">
        <f>(J9-I9)+(S9-R9)</f>
        <v>0</v>
      </c>
      <c r="L9" s="48"/>
      <c r="M9" s="48"/>
      <c r="N9" s="72"/>
      <c r="O9" s="38">
        <v>0</v>
      </c>
      <c r="P9" s="48"/>
      <c r="Q9" s="48"/>
      <c r="R9" s="48"/>
      <c r="S9" s="48"/>
    </row>
    <row r="10">
      <c r="A10" s="81">
        <v>9</v>
      </c>
      <c r="B10" s="48" t="s">
        <v>1305</v>
      </c>
      <c r="C10" s="83">
        <f>Sum(G10,K10)</f>
        <v>1.5972222222222221e-02</v>
      </c>
      <c r="D10" s="38">
        <v>0</v>
      </c>
      <c r="E10" s="83">
        <v>9.7222222222222224e-03</v>
      </c>
      <c r="F10" s="83">
        <v>1.7361111111111112e-02</v>
      </c>
      <c r="G10" s="83">
        <f>(F10-E10)+(Q10-P10)</f>
        <v>7.6388888888888886e-03</v>
      </c>
      <c r="H10" s="38">
        <v>0</v>
      </c>
      <c r="I10" s="83">
        <v>9.0277777777777769e-03</v>
      </c>
      <c r="J10" s="83">
        <v>1.7361111111111112e-02</v>
      </c>
      <c r="K10" s="83">
        <f>(J10-I10)+(S10-R10)</f>
        <v>8.3333333333333332e-03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1306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1307</v>
      </c>
      <c r="C12" s="83">
        <f>Sum(G12,K12)</f>
        <v>1.9444444444444445e-02</v>
      </c>
      <c r="D12" s="38">
        <v>1</v>
      </c>
      <c r="E12" s="83">
        <v>0</v>
      </c>
      <c r="F12" s="83">
        <v>1.0416666666666666e-02</v>
      </c>
      <c r="G12" s="83">
        <f>(F12-E12)+(Q12-P12)</f>
        <v>1.0416666666666666e-02</v>
      </c>
      <c r="H12" s="38">
        <v>1</v>
      </c>
      <c r="I12" s="83">
        <v>0</v>
      </c>
      <c r="J12" s="83">
        <v>9.0277777777777769e-03</v>
      </c>
      <c r="K12" s="83">
        <f>(J12-I12)+(S12-R12)</f>
        <v>9.0277777777777769e-03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1308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38">
        <v>3</v>
      </c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1309</v>
      </c>
      <c r="C14" s="83">
        <f>Sum(G14,K14)</f>
        <v>2.1527777777777778e-02</v>
      </c>
      <c r="D14" s="38">
        <v>1</v>
      </c>
      <c r="E14" s="83">
        <v>0</v>
      </c>
      <c r="F14" s="83">
        <v>9.7222222222222224e-03</v>
      </c>
      <c r="G14" s="83">
        <f>(F14-E14)+(Q14-P14)</f>
        <v>9.7222222222222224e-03</v>
      </c>
      <c r="H14" s="38">
        <v>1</v>
      </c>
      <c r="I14" s="83">
        <v>0</v>
      </c>
      <c r="J14" s="83">
        <v>9.0277777777777769e-03</v>
      </c>
      <c r="K14" s="83">
        <f>(J14-I14)+(S14-R14)</f>
        <v>1.1805555555555555e-02</v>
      </c>
      <c r="L14" s="48"/>
      <c r="M14" s="48"/>
      <c r="N14" s="72"/>
      <c r="O14" s="38">
        <v>1</v>
      </c>
      <c r="P14" s="48"/>
      <c r="Q14" s="48"/>
      <c r="R14" s="83">
        <v>1.4583333333333334e-02</v>
      </c>
      <c r="S14" s="83">
        <v>1.7361111111111112e-02</v>
      </c>
    </row>
    <row r="15">
      <c r="A15" s="81">
        <v>16</v>
      </c>
      <c r="B15" s="48" t="s">
        <v>1310</v>
      </c>
      <c r="C15" s="83">
        <f>Sum(G15,K15)</f>
        <v>1.5972222222222221e-02</v>
      </c>
      <c r="D15" s="38">
        <v>0</v>
      </c>
      <c r="E15" s="83">
        <v>9.7222222222222224e-03</v>
      </c>
      <c r="F15" s="83">
        <v>1.7361111111111112e-02</v>
      </c>
      <c r="G15" s="83">
        <f>(F15-E15)+(Q15-P15)</f>
        <v>7.6388888888888886e-03</v>
      </c>
      <c r="H15" s="38">
        <v>0</v>
      </c>
      <c r="I15" s="83">
        <v>9.0277777777777769e-03</v>
      </c>
      <c r="J15" s="83">
        <v>1.7361111111111112e-02</v>
      </c>
      <c r="K15" s="83">
        <f>(J15-I15)+(S15-R15)</f>
        <v>8.3333333333333332e-03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1311</v>
      </c>
      <c r="C16" s="83">
        <f>Sum(G16,K16)</f>
        <v>2.7083333333333334e-02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9.7222222222222224e-03</v>
      </c>
      <c r="K16" s="83">
        <f>(J16-I16)+(S16-R16)</f>
        <v>9.7222222222222224e-03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1312</v>
      </c>
      <c r="C17" s="83">
        <f>Sum(G17,K17)</f>
        <v>2.2916666666666665e-02</v>
      </c>
      <c r="D17" s="38">
        <v>1</v>
      </c>
      <c r="E17" s="83">
        <v>0</v>
      </c>
      <c r="F17" s="83">
        <v>9.7222222222222224e-03</v>
      </c>
      <c r="G17" s="83">
        <f>(F17-E17)+(Q17-P17)</f>
        <v>9.7222222222222224e-03</v>
      </c>
      <c r="H17" s="38">
        <v>1</v>
      </c>
      <c r="I17" s="83">
        <v>0</v>
      </c>
      <c r="J17" s="83">
        <v>9.0277777777777769e-03</v>
      </c>
      <c r="K17" s="83">
        <f>(J17-I17)+(S17-R17)</f>
        <v>1.3194444444444444e-02</v>
      </c>
      <c r="L17" s="38">
        <v>1</v>
      </c>
      <c r="M17" s="38">
        <v>1</v>
      </c>
      <c r="N17" s="72"/>
      <c r="O17" s="38">
        <v>1</v>
      </c>
      <c r="P17" s="48"/>
      <c r="Q17" s="48"/>
      <c r="R17" s="83">
        <v>9.7222222222222224e-03</v>
      </c>
      <c r="S17" s="83">
        <v>1.3888888888888888e-02</v>
      </c>
    </row>
    <row r="18">
      <c r="A18" s="27"/>
      <c r="B18" s="48"/>
      <c r="C18" s="72"/>
      <c r="K18" s="87" t="s">
        <v>1313</v>
      </c>
      <c r="L18" s="88"/>
      <c r="M18" s="48"/>
      <c r="N18" s="38">
        <v>0</v>
      </c>
      <c r="O18" s="89">
        <v>1</v>
      </c>
      <c r="P18" s="72"/>
      <c r="S18" s="72"/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1314</v>
      </c>
      <c r="B1" s="9" t="s">
        <v>1315</v>
      </c>
      <c r="C1" s="9" t="s">
        <v>1316</v>
      </c>
      <c r="D1" s="9" t="s">
        <v>1317</v>
      </c>
      <c r="E1" s="9" t="s">
        <v>1318</v>
      </c>
      <c r="F1" s="9" t="s">
        <v>1319</v>
      </c>
      <c r="G1" s="9" t="s">
        <v>1320</v>
      </c>
      <c r="H1" s="9" t="s">
        <v>1321</v>
      </c>
      <c r="I1" s="9" t="s">
        <v>1322</v>
      </c>
      <c r="J1" s="9" t="s">
        <v>1323</v>
      </c>
      <c r="K1" s="9" t="s">
        <v>1324</v>
      </c>
      <c r="L1" s="9" t="s">
        <v>1325</v>
      </c>
      <c r="M1" s="9" t="s">
        <v>1326</v>
      </c>
      <c r="N1" s="9" t="s">
        <v>1327</v>
      </c>
      <c r="O1" s="9" t="s">
        <v>1328</v>
      </c>
      <c r="P1" s="9" t="s">
        <v>1329</v>
      </c>
      <c r="Q1" s="9" t="s">
        <v>1330</v>
      </c>
      <c r="R1" s="9" t="s">
        <v>1331</v>
      </c>
      <c r="S1" s="9" t="s">
        <v>1332</v>
      </c>
    </row>
    <row r="2">
      <c r="A2" s="81">
        <v>1</v>
      </c>
      <c r="B2" s="48" t="s">
        <v>1333</v>
      </c>
      <c r="C2" s="83">
        <f>Sum(G2,K2)</f>
        <v>1.7361111111111112e-02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1334</v>
      </c>
      <c r="C3" s="83">
        <f>Sum(G3,K3)</f>
        <v>2.2916666666666665e-02</v>
      </c>
      <c r="D3" s="38">
        <v>0</v>
      </c>
      <c r="E3" s="83">
        <v>8.3333333333333332e-03</v>
      </c>
      <c r="F3" s="83">
        <v>1.7361111111111112e-02</v>
      </c>
      <c r="G3" s="83">
        <f>(F3-E3)+(Q3-P3)</f>
        <v>9.0277777777777769e-03</v>
      </c>
      <c r="H3" s="38">
        <v>1</v>
      </c>
      <c r="I3" s="83">
        <v>0</v>
      </c>
      <c r="J3" s="83">
        <v>1.3888888888888888e-02</v>
      </c>
      <c r="K3" s="83">
        <f>(J3-I3)+(S3-R3)</f>
        <v>1.3888888888888888e-02</v>
      </c>
      <c r="L3" s="38">
        <v>1</v>
      </c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1335</v>
      </c>
      <c r="C4" s="83">
        <f>Sum(G4,K4)</f>
        <v>2.2222222222222223e-02</v>
      </c>
      <c r="D4" s="38">
        <v>1</v>
      </c>
      <c r="E4" s="83">
        <v>0</v>
      </c>
      <c r="F4" s="83">
        <v>8.3333333333333332e-03</v>
      </c>
      <c r="G4" s="83">
        <f>(F4-E4)+(Q4-P4)</f>
        <v>8.3333333333333332e-03</v>
      </c>
      <c r="H4" s="38">
        <v>0</v>
      </c>
      <c r="I4" s="83">
        <v>3.472222222222222e-03</v>
      </c>
      <c r="J4" s="83">
        <v>1.7361111111111112e-02</v>
      </c>
      <c r="K4" s="83">
        <f>(J4-I4)+(S4-R4)</f>
        <v>1.3888888888888888e-02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1336</v>
      </c>
      <c r="C5" s="83">
        <f>Sum(G5,K5)</f>
        <v>2.0833333333333332e-02</v>
      </c>
      <c r="D5" s="38">
        <v>0</v>
      </c>
      <c r="E5" s="83">
        <v>8.3333333333333332e-03</v>
      </c>
      <c r="F5" s="83">
        <v>1.7361111111111112e-02</v>
      </c>
      <c r="G5" s="83">
        <f>(F5-E5)+(Q5-P5)</f>
        <v>9.0277777777777769e-03</v>
      </c>
      <c r="H5" s="38">
        <v>1</v>
      </c>
      <c r="I5" s="83">
        <v>0</v>
      </c>
      <c r="J5" s="83">
        <v>1.1805555555555555e-02</v>
      </c>
      <c r="K5" s="83">
        <f>(J5-I5)+(S5-R5)</f>
        <v>1.1805555555555555e-02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1337</v>
      </c>
      <c r="C6" s="83">
        <f>Sum(G6,K6)</f>
        <v>2.7777777777777776e-02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1.0416666666666666e-02</v>
      </c>
      <c r="K6" s="83">
        <f>(J6-I6)+(S6-R6)</f>
        <v>1.0416666666666666e-02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1338</v>
      </c>
      <c r="C7" s="83">
        <f>Sum(G7,K7)</f>
        <v>1.9444444444444445e-02</v>
      </c>
      <c r="D7" s="38">
        <v>0</v>
      </c>
      <c r="E7" s="83">
        <v>6.9444444444444441e-03</v>
      </c>
      <c r="F7" s="83">
        <v>1.7361111111111112e-02</v>
      </c>
      <c r="G7" s="83">
        <f>(F7-E7)+(Q7-P7)</f>
        <v>1.0416666666666666e-02</v>
      </c>
      <c r="H7" s="38">
        <v>1</v>
      </c>
      <c r="I7" s="83">
        <v>0</v>
      </c>
      <c r="J7" s="83">
        <v>3.472222222222222e-03</v>
      </c>
      <c r="K7" s="83">
        <f>(J7-I7)+(S7-R7)</f>
        <v>9.0277777777777769e-03</v>
      </c>
      <c r="L7" s="48"/>
      <c r="M7" s="48"/>
      <c r="N7" s="72"/>
      <c r="O7" s="38">
        <v>1</v>
      </c>
      <c r="P7" s="48"/>
      <c r="Q7" s="48"/>
      <c r="R7" s="83">
        <v>1.1805555555555555e-02</v>
      </c>
      <c r="S7" s="83">
        <v>1.7361111111111112e-02</v>
      </c>
    </row>
    <row r="8">
      <c r="A8" s="81">
        <v>7</v>
      </c>
      <c r="B8" s="48" t="s">
        <v>1339</v>
      </c>
      <c r="C8" s="83">
        <f>Sum(G8,K8)</f>
        <v>1.6666666666666666e-02</v>
      </c>
      <c r="D8" s="38">
        <v>0</v>
      </c>
      <c r="E8" s="83">
        <v>7.6388888888888886e-03</v>
      </c>
      <c r="F8" s="83">
        <v>1.7361111111111112e-02</v>
      </c>
      <c r="G8" s="83">
        <f>(F8-E8)+(Q8-P8)</f>
        <v>9.7222222222222224e-03</v>
      </c>
      <c r="H8" s="38">
        <v>0</v>
      </c>
      <c r="I8" s="83">
        <v>1.0416666666666666e-02</v>
      </c>
      <c r="J8" s="83">
        <v>1.7361111111111112e-02</v>
      </c>
      <c r="K8" s="83">
        <f>(J8-I8)+(S8-R8)</f>
        <v>6.9444444444444441e-03</v>
      </c>
      <c r="L8" s="48"/>
      <c r="M8" s="38">
        <v>1</v>
      </c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1340</v>
      </c>
      <c r="C9" s="83">
        <f>Sum(G9,K9)</f>
        <v>1.7361111111111112e-02</v>
      </c>
      <c r="D9" s="38">
        <v>1</v>
      </c>
      <c r="E9" s="83">
        <v>0</v>
      </c>
      <c r="F9" s="83">
        <v>8.3333333333333332e-03</v>
      </c>
      <c r="G9" s="83">
        <f>(F9-E9)+(Q9-P9)</f>
        <v>8.3333333333333332e-03</v>
      </c>
      <c r="H9" s="38">
        <v>1</v>
      </c>
      <c r="I9" s="83">
        <v>0</v>
      </c>
      <c r="J9" s="83">
        <v>5.5555555555555558e-03</v>
      </c>
      <c r="K9" s="83">
        <f>(J9-I9)+(S9-R9)</f>
        <v>9.0277777777777769e-03</v>
      </c>
      <c r="L9" s="38">
        <v>1</v>
      </c>
      <c r="M9" s="48"/>
      <c r="N9" s="72"/>
      <c r="O9" s="38">
        <v>1</v>
      </c>
      <c r="P9" s="48"/>
      <c r="Q9" s="48"/>
      <c r="R9" s="83">
        <v>1.3888888888888888e-02</v>
      </c>
      <c r="S9" s="83">
        <v>1.7361111111111112e-02</v>
      </c>
    </row>
    <row r="10">
      <c r="A10" s="81">
        <v>9</v>
      </c>
      <c r="B10" s="48" t="s">
        <v>1341</v>
      </c>
      <c r="C10" s="83">
        <f>Sum(G10,K10)</f>
        <v>0</v>
      </c>
      <c r="D10" s="38">
        <v>0</v>
      </c>
      <c r="E10" s="83">
        <v>0</v>
      </c>
      <c r="F10" s="83">
        <v>0</v>
      </c>
      <c r="G10" s="83">
        <f>(F10-E10)+(Q10-P10)</f>
        <v>0</v>
      </c>
      <c r="H10" s="38">
        <v>0</v>
      </c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38">
        <v>0</v>
      </c>
      <c r="P10" s="48"/>
      <c r="Q10" s="48"/>
      <c r="R10" s="48"/>
      <c r="S10" s="48"/>
    </row>
    <row r="11">
      <c r="A11" s="81">
        <v>10</v>
      </c>
      <c r="B11" s="48" t="s">
        <v>1342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1343</v>
      </c>
      <c r="C12" s="83">
        <f>Sum(G12,K12)</f>
        <v>1.7361111111111112e-02</v>
      </c>
      <c r="D12" s="38">
        <v>0</v>
      </c>
      <c r="E12" s="83">
        <v>0</v>
      </c>
      <c r="F12" s="83">
        <v>0</v>
      </c>
      <c r="G12" s="83">
        <f>(F12-E12)+(Q12-P12)</f>
        <v>0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1344</v>
      </c>
      <c r="C13" s="83">
        <f>Sum(G13,K13)</f>
        <v>3.0555555555555555e-02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4.1666666666666666e-03</v>
      </c>
      <c r="J13" s="83">
        <v>1.7361111111111112e-02</v>
      </c>
      <c r="K13" s="83">
        <f>(J13-I13)+(S13-R13)</f>
        <v>1.3194444444444444e-02</v>
      </c>
      <c r="L13" s="38">
        <v>1</v>
      </c>
      <c r="M13" s="38">
        <v>2</v>
      </c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1345</v>
      </c>
      <c r="C14" s="83">
        <f>Sum(G14,K14)</f>
        <v>1.8055555555555554e-02</v>
      </c>
      <c r="D14" s="38">
        <v>1</v>
      </c>
      <c r="E14" s="83">
        <v>0</v>
      </c>
      <c r="F14" s="83">
        <v>7.6388888888888886e-03</v>
      </c>
      <c r="G14" s="83">
        <f>(F14-E14)+(Q14-P14)</f>
        <v>7.6388888888888886e-03</v>
      </c>
      <c r="H14" s="38">
        <v>1</v>
      </c>
      <c r="I14" s="83">
        <v>0</v>
      </c>
      <c r="J14" s="83">
        <v>1.0416666666666666e-02</v>
      </c>
      <c r="K14" s="83">
        <f>(J14-I14)+(S14-R14)</f>
        <v>1.0416666666666666e-02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1346</v>
      </c>
      <c r="C15" s="83">
        <f>Sum(G15,K15)</f>
        <v>0</v>
      </c>
      <c r="D15" s="38">
        <v>0</v>
      </c>
      <c r="E15" s="83">
        <v>0</v>
      </c>
      <c r="F15" s="83">
        <v>0</v>
      </c>
      <c r="G15" s="83">
        <f>(F15-E15)+(Q15-P15)</f>
        <v>0</v>
      </c>
      <c r="H15" s="38">
        <v>0</v>
      </c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38">
        <v>0</v>
      </c>
      <c r="P15" s="48"/>
      <c r="Q15" s="48"/>
      <c r="R15" s="48"/>
      <c r="S15" s="48"/>
    </row>
    <row r="16">
      <c r="A16" s="81">
        <v>20</v>
      </c>
      <c r="B16" s="48" t="s">
        <v>1347</v>
      </c>
      <c r="C16" s="83">
        <f>Sum(G16,K16)</f>
        <v>2.8472222222222222e-02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4.1666666666666666e-03</v>
      </c>
      <c r="K16" s="83">
        <f>(J16-I16)+(S16-R16)</f>
        <v>1.1111111111111112e-02</v>
      </c>
      <c r="L16" s="48"/>
      <c r="M16" s="48"/>
      <c r="N16" s="72"/>
      <c r="O16" s="38">
        <v>1</v>
      </c>
      <c r="P16" s="48"/>
      <c r="Q16" s="48"/>
      <c r="R16" s="83">
        <v>1.0416666666666666e-02</v>
      </c>
      <c r="S16" s="83">
        <v>1.7361111111111112e-02</v>
      </c>
    </row>
    <row r="17">
      <c r="A17" s="81">
        <v>22</v>
      </c>
      <c r="B17" s="48" t="s">
        <v>1348</v>
      </c>
      <c r="C17" s="83">
        <f>Sum(G17,K17)</f>
        <v>1.8749999999999999e-02</v>
      </c>
      <c r="D17" s="38">
        <v>1</v>
      </c>
      <c r="E17" s="83">
        <v>0</v>
      </c>
      <c r="F17" s="83">
        <v>6.9444444444444441e-03</v>
      </c>
      <c r="G17" s="83">
        <f>(F17-E17)+(Q17-P17)</f>
        <v>6.9444444444444441e-03</v>
      </c>
      <c r="H17" s="38">
        <v>0</v>
      </c>
      <c r="I17" s="83">
        <v>5.5555555555555558e-03</v>
      </c>
      <c r="J17" s="83">
        <v>1.7361111111111112e-02</v>
      </c>
      <c r="K17" s="83">
        <f>(J17-I17)+(S17-R17)</f>
        <v>1.1805555555555555e-02</v>
      </c>
      <c r="L17" s="38">
        <v>2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1349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1350</v>
      </c>
      <c r="B1" s="9" t="s">
        <v>1351</v>
      </c>
      <c r="C1" s="9" t="s">
        <v>1352</v>
      </c>
      <c r="D1" s="9" t="s">
        <v>1353</v>
      </c>
      <c r="E1" s="9" t="s">
        <v>1354</v>
      </c>
      <c r="F1" s="9" t="s">
        <v>1355</v>
      </c>
      <c r="G1" s="9" t="s">
        <v>1356</v>
      </c>
      <c r="H1" s="9" t="s">
        <v>1357</v>
      </c>
      <c r="I1" s="9" t="s">
        <v>1358</v>
      </c>
      <c r="J1" s="9" t="s">
        <v>1359</v>
      </c>
      <c r="K1" s="9" t="s">
        <v>1360</v>
      </c>
      <c r="L1" s="9" t="s">
        <v>1361</v>
      </c>
      <c r="M1" s="9" t="s">
        <v>1362</v>
      </c>
      <c r="N1" s="9" t="s">
        <v>1363</v>
      </c>
      <c r="O1" s="9" t="s">
        <v>1364</v>
      </c>
      <c r="P1" s="9" t="s">
        <v>1365</v>
      </c>
      <c r="Q1" s="9" t="s">
        <v>1366</v>
      </c>
      <c r="R1" s="9" t="s">
        <v>1367</v>
      </c>
      <c r="S1" s="9" t="s">
        <v>1368</v>
      </c>
    </row>
    <row r="2">
      <c r="A2" s="81">
        <v>1</v>
      </c>
      <c r="B2" s="48" t="s">
        <v>1369</v>
      </c>
      <c r="C2" s="83">
        <f>Sum(G2,K2)</f>
        <v>0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0</v>
      </c>
      <c r="P2" s="48"/>
      <c r="Q2" s="48"/>
      <c r="R2" s="48"/>
      <c r="S2" s="48"/>
    </row>
    <row r="3">
      <c r="A3" s="81">
        <v>2</v>
      </c>
      <c r="B3" s="48" t="s">
        <v>1370</v>
      </c>
      <c r="C3" s="83">
        <f>Sum(G3,K3)</f>
        <v>1.1111111111111112e-02</v>
      </c>
      <c r="D3" s="38">
        <v>0</v>
      </c>
      <c r="E3" s="83">
        <v>1.2500000000000001e-02</v>
      </c>
      <c r="F3" s="83">
        <v>1.7361111111111112e-02</v>
      </c>
      <c r="G3" s="83">
        <f>(F3-E3)+(Q3-P3)</f>
        <v>4.8611111111111112e-03</v>
      </c>
      <c r="H3" s="38">
        <v>1</v>
      </c>
      <c r="I3" s="83">
        <v>0</v>
      </c>
      <c r="J3" s="83">
        <v>4.1666666666666666e-03</v>
      </c>
      <c r="K3" s="83">
        <f>(J3-I3)+(S3-R3)</f>
        <v>6.2500000000000003e-03</v>
      </c>
      <c r="L3" s="48"/>
      <c r="M3" s="48"/>
      <c r="N3" s="72"/>
      <c r="O3" s="38">
        <v>1</v>
      </c>
      <c r="P3" s="48"/>
      <c r="Q3" s="48"/>
      <c r="R3" s="83">
        <v>1.5277777777777777e-02</v>
      </c>
      <c r="S3" s="83">
        <v>1.7361111111111112e-02</v>
      </c>
    </row>
    <row r="4">
      <c r="A4" s="81">
        <v>3</v>
      </c>
      <c r="B4" s="48" t="s">
        <v>1371</v>
      </c>
      <c r="C4" s="83">
        <f>Sum(G4,K4)</f>
        <v>2.2916666666666665e-02</v>
      </c>
      <c r="D4" s="38">
        <v>1</v>
      </c>
      <c r="E4" s="83">
        <v>0</v>
      </c>
      <c r="F4" s="83">
        <v>1.0416666666666666e-02</v>
      </c>
      <c r="G4" s="83">
        <f>(F4-E4)+(Q4-P4)</f>
        <v>1.0416666666666666e-02</v>
      </c>
      <c r="H4" s="38">
        <v>1</v>
      </c>
      <c r="I4" s="83">
        <v>0</v>
      </c>
      <c r="J4" s="83">
        <v>1.2500000000000001e-02</v>
      </c>
      <c r="K4" s="83">
        <f>(J4-I4)+(S4-R4)</f>
        <v>1.2500000000000001e-02</v>
      </c>
      <c r="L4" s="48"/>
      <c r="M4" s="38">
        <v>1</v>
      </c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1372</v>
      </c>
      <c r="C5" s="83">
        <f>Sum(G5,K5)</f>
        <v>1.3888888888888888e-02</v>
      </c>
      <c r="D5" s="38">
        <v>0</v>
      </c>
      <c r="E5" s="83">
        <v>9.7222222222222224e-03</v>
      </c>
      <c r="F5" s="83">
        <v>1.7361111111111112e-02</v>
      </c>
      <c r="G5" s="83">
        <f>(F5-E5)+(Q5-P5)</f>
        <v>7.6388888888888886e-03</v>
      </c>
      <c r="H5" s="38">
        <v>1</v>
      </c>
      <c r="I5" s="83">
        <v>0</v>
      </c>
      <c r="J5" s="83">
        <v>4.1666666666666666e-03</v>
      </c>
      <c r="K5" s="83">
        <f>(J5-I5)+(S5-R5)</f>
        <v>6.2500000000000003e-03</v>
      </c>
      <c r="L5" s="48"/>
      <c r="M5" s="48"/>
      <c r="N5" s="72"/>
      <c r="O5" s="38">
        <v>1</v>
      </c>
      <c r="P5" s="48"/>
      <c r="Q5" s="48"/>
      <c r="R5" s="83">
        <v>1.5277777777777777e-02</v>
      </c>
      <c r="S5" s="83">
        <v>1.7361111111111112e-02</v>
      </c>
    </row>
    <row r="6">
      <c r="A6" s="81">
        <v>5</v>
      </c>
      <c r="B6" s="48" t="s">
        <v>1373</v>
      </c>
      <c r="C6" s="83">
        <f>Sum(G6,K6)</f>
        <v>3.3333333333333333e-02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1.5972222222222221e-02</v>
      </c>
      <c r="K6" s="83">
        <f>(J6-I6)+(S6-R6)</f>
        <v>1.5972222222222221e-02</v>
      </c>
      <c r="L6" s="38">
        <v>1</v>
      </c>
      <c r="M6" s="38">
        <v>1</v>
      </c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1374</v>
      </c>
      <c r="C7" s="83">
        <f>Sum(G7,K7)</f>
        <v>2.013888888888889e-02</v>
      </c>
      <c r="D7" s="38">
        <v>0</v>
      </c>
      <c r="E7" s="83">
        <v>1.0416666666666666e-02</v>
      </c>
      <c r="F7" s="83">
        <v>1.7361111111111112e-02</v>
      </c>
      <c r="G7" s="83">
        <f>(F7-E7)+(Q7-P7)</f>
        <v>6.9444444444444441e-03</v>
      </c>
      <c r="H7" s="38">
        <v>0</v>
      </c>
      <c r="I7" s="83">
        <v>4.1666666666666666e-03</v>
      </c>
      <c r="J7" s="83">
        <v>1.7361111111111112e-02</v>
      </c>
      <c r="K7" s="83">
        <f>(J7-I7)+(S7-R7)</f>
        <v>1.3194444444444444e-02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1375</v>
      </c>
      <c r="C8" s="83">
        <f>Sum(G8,K8)</f>
        <v>2.2916666666666665e-02</v>
      </c>
      <c r="D8" s="38">
        <v>1</v>
      </c>
      <c r="E8" s="83">
        <v>0</v>
      </c>
      <c r="F8" s="83">
        <v>9.7222222222222224e-03</v>
      </c>
      <c r="G8" s="83">
        <f>(F8-E8)+(Q8-P8)</f>
        <v>9.7222222222222224e-03</v>
      </c>
      <c r="H8" s="38">
        <v>0</v>
      </c>
      <c r="I8" s="83">
        <v>4.1666666666666666e-03</v>
      </c>
      <c r="J8" s="83">
        <v>1.7361111111111112e-02</v>
      </c>
      <c r="K8" s="83">
        <f>(J8-I8)+(S8-R8)</f>
        <v>1.3194444444444444e-02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1376</v>
      </c>
      <c r="C9" s="83">
        <f>Sum(G9,K9)</f>
        <v>1.8749999999999999e-02</v>
      </c>
      <c r="D9" s="38">
        <v>1</v>
      </c>
      <c r="E9" s="83">
        <v>0</v>
      </c>
      <c r="F9" s="83">
        <v>1.0416666666666666e-02</v>
      </c>
      <c r="G9" s="83">
        <f>(F9-E9)+(Q9-P9)</f>
        <v>1.0416666666666666e-02</v>
      </c>
      <c r="H9" s="38">
        <v>0</v>
      </c>
      <c r="I9" s="83">
        <v>5.5555555555555558e-03</v>
      </c>
      <c r="J9" s="83">
        <v>1.3888888888888888e-02</v>
      </c>
      <c r="K9" s="83">
        <f>(J9-I9)+(S9-R9)</f>
        <v>8.3333333333333332e-03</v>
      </c>
      <c r="L9" s="38">
        <v>2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1377</v>
      </c>
      <c r="C10" s="83">
        <f>Sum(G10,K10)</f>
        <v>2.2222222222222223e-02</v>
      </c>
      <c r="D10" s="38">
        <v>1</v>
      </c>
      <c r="E10" s="83">
        <v>0</v>
      </c>
      <c r="F10" s="83">
        <v>1.7361111111111112e-02</v>
      </c>
      <c r="G10" s="83">
        <f>(F10-E10)+(Q10-P10)</f>
        <v>1.7361111111111112e-02</v>
      </c>
      <c r="H10" s="38">
        <v>0</v>
      </c>
      <c r="I10" s="83">
        <v>1.2500000000000001e-02</v>
      </c>
      <c r="J10" s="83">
        <v>1.7361111111111112e-02</v>
      </c>
      <c r="K10" s="83">
        <f>(J10-I10)+(S10-R10)</f>
        <v>4.8611111111111112e-03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1378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1379</v>
      </c>
      <c r="C12" s="83">
        <f>Sum(G12,K12)</f>
        <v>3.4722222222222224e-02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1380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38">
        <v>1</v>
      </c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1381</v>
      </c>
      <c r="C14" s="83">
        <f>Sum(G14,K14)</f>
        <v>0</v>
      </c>
      <c r="D14" s="38">
        <v>0</v>
      </c>
      <c r="E14" s="83">
        <v>0</v>
      </c>
      <c r="F14" s="83">
        <v>0</v>
      </c>
      <c r="G14" s="83">
        <f>(F14-E14)+(Q14-P14)</f>
        <v>0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0</v>
      </c>
      <c r="P14" s="48"/>
      <c r="Q14" s="48"/>
      <c r="R14" s="48"/>
      <c r="S14" s="48"/>
    </row>
    <row r="15">
      <c r="A15" s="81">
        <v>16</v>
      </c>
      <c r="B15" s="48" t="s">
        <v>1382</v>
      </c>
      <c r="C15" s="83">
        <f>Sum(G15,K15)</f>
        <v>1.3888888888888888e-02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1</v>
      </c>
      <c r="I15" s="83">
        <v>0</v>
      </c>
      <c r="J15" s="83">
        <v>5.5555555555555558e-03</v>
      </c>
      <c r="K15" s="83">
        <f>(J15-I15)+(S15-R15)</f>
        <v>6.9444444444444441e-03</v>
      </c>
      <c r="L15" s="48"/>
      <c r="M15" s="48"/>
      <c r="N15" s="72"/>
      <c r="O15" s="38">
        <v>1</v>
      </c>
      <c r="P15" s="48"/>
      <c r="Q15" s="48"/>
      <c r="R15" s="83">
        <v>1.5972222222222221e-02</v>
      </c>
      <c r="S15" s="83">
        <v>1.7361111111111112e-02</v>
      </c>
    </row>
    <row r="16">
      <c r="A16" s="81">
        <v>20</v>
      </c>
      <c r="B16" s="48" t="s">
        <v>1383</v>
      </c>
      <c r="C16" s="83">
        <f>Sum(G16,K16)</f>
        <v>0</v>
      </c>
      <c r="D16" s="38">
        <v>0</v>
      </c>
      <c r="E16" s="83">
        <v>0</v>
      </c>
      <c r="F16" s="83">
        <v>0</v>
      </c>
      <c r="G16" s="83">
        <f>(F16-E16)+(Q16-P16)</f>
        <v>0</v>
      </c>
      <c r="H16" s="38">
        <v>0</v>
      </c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38">
        <v>0</v>
      </c>
      <c r="P16" s="48"/>
      <c r="Q16" s="48"/>
      <c r="R16" s="48"/>
      <c r="S16" s="48"/>
    </row>
    <row r="17">
      <c r="A17" s="81">
        <v>22</v>
      </c>
      <c r="B17" s="48" t="s">
        <v>1384</v>
      </c>
      <c r="C17" s="83">
        <f>Sum(G17,K17)</f>
        <v>2.7777777777777776e-02</v>
      </c>
      <c r="D17" s="38">
        <v>1</v>
      </c>
      <c r="E17" s="83">
        <v>0</v>
      </c>
      <c r="F17" s="83">
        <v>1.2500000000000001e-02</v>
      </c>
      <c r="G17" s="83">
        <f>(F17-E17)+(Q17-P17)</f>
        <v>1.2500000000000001e-02</v>
      </c>
      <c r="H17" s="38">
        <v>1</v>
      </c>
      <c r="I17" s="83">
        <v>0</v>
      </c>
      <c r="J17" s="83">
        <v>1.5277777777777777e-02</v>
      </c>
      <c r="K17" s="83">
        <f>(J17-I17)+(S17-R17)</f>
        <v>1.5277777777777777e-02</v>
      </c>
      <c r="L17" s="38">
        <v>2</v>
      </c>
      <c r="M17" s="38">
        <v>1</v>
      </c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1385</v>
      </c>
      <c r="L18" s="88"/>
      <c r="M18" s="48"/>
      <c r="N18" s="38">
        <v>3</v>
      </c>
      <c r="O18" s="89">
        <v>1</v>
      </c>
      <c r="P18" s="72"/>
      <c r="S18" s="72"/>
    </row>
  </sheetData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1386</v>
      </c>
      <c r="B1" s="9" t="s">
        <v>1387</v>
      </c>
      <c r="C1" s="9" t="s">
        <v>1388</v>
      </c>
      <c r="D1" s="9" t="s">
        <v>1389</v>
      </c>
      <c r="E1" s="9" t="s">
        <v>1390</v>
      </c>
      <c r="F1" s="9" t="s">
        <v>1391</v>
      </c>
      <c r="G1" s="9" t="s">
        <v>1392</v>
      </c>
      <c r="H1" s="9" t="s">
        <v>1393</v>
      </c>
      <c r="I1" s="9" t="s">
        <v>1394</v>
      </c>
      <c r="J1" s="9" t="s">
        <v>1395</v>
      </c>
      <c r="K1" s="9" t="s">
        <v>1396</v>
      </c>
      <c r="L1" s="9" t="s">
        <v>1397</v>
      </c>
      <c r="M1" s="9" t="s">
        <v>1398</v>
      </c>
      <c r="N1" s="9" t="s">
        <v>1399</v>
      </c>
      <c r="O1" s="9" t="s">
        <v>1400</v>
      </c>
      <c r="P1" s="9" t="s">
        <v>1401</v>
      </c>
      <c r="Q1" s="9" t="s">
        <v>1402</v>
      </c>
      <c r="R1" s="9" t="s">
        <v>1403</v>
      </c>
      <c r="S1" s="9" t="s">
        <v>1404</v>
      </c>
    </row>
    <row r="2">
      <c r="A2" s="81">
        <v>1</v>
      </c>
      <c r="B2" s="48" t="s">
        <v>1405</v>
      </c>
      <c r="C2" s="83">
        <f>Sum(G2,K2)</f>
        <v>1.7361111111111112e-02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1406</v>
      </c>
      <c r="C3" s="83">
        <f>Sum(G3,K3)</f>
        <v>2.7083333333333334e-02</v>
      </c>
      <c r="D3" s="38">
        <v>0</v>
      </c>
      <c r="E3" s="83">
        <v>7.6388888888888886e-03</v>
      </c>
      <c r="F3" s="83">
        <v>1.7361111111111112e-02</v>
      </c>
      <c r="G3" s="83">
        <f>(F3-E3)+(Q3-P3)</f>
        <v>9.7222222222222224e-03</v>
      </c>
      <c r="H3" s="38">
        <v>1</v>
      </c>
      <c r="I3" s="83">
        <v>0</v>
      </c>
      <c r="J3" s="83">
        <v>1.7361111111111112e-02</v>
      </c>
      <c r="K3" s="83">
        <f>(J3-I3)+(S3-R3)</f>
        <v>1.7361111111111112e-02</v>
      </c>
      <c r="L3" s="38">
        <v>1</v>
      </c>
      <c r="M3" s="38">
        <v>1</v>
      </c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1407</v>
      </c>
      <c r="C4" s="83">
        <f>Sum(G4,K4)</f>
        <v>1.8055555555555554e-02</v>
      </c>
      <c r="D4" s="38">
        <v>1</v>
      </c>
      <c r="E4" s="83">
        <v>0</v>
      </c>
      <c r="F4" s="83">
        <v>8.3333333333333332e-03</v>
      </c>
      <c r="G4" s="83">
        <f>(F4-E4)+(Q4-P4)</f>
        <v>8.3333333333333332e-03</v>
      </c>
      <c r="H4" s="38">
        <v>0</v>
      </c>
      <c r="I4" s="83">
        <v>7.6388888888888886e-03</v>
      </c>
      <c r="J4" s="83">
        <v>1.7361111111111112e-02</v>
      </c>
      <c r="K4" s="83">
        <f>(J4-I4)+(S4-R4)</f>
        <v>9.7222222222222224e-03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1408</v>
      </c>
      <c r="C5" s="83">
        <f>Sum(G5,K5)</f>
        <v>2.5000000000000001e-02</v>
      </c>
      <c r="D5" s="38">
        <v>1</v>
      </c>
      <c r="E5" s="83">
        <v>0</v>
      </c>
      <c r="F5" s="83">
        <v>1.7361111111111112e-02</v>
      </c>
      <c r="G5" s="83">
        <f>(F5-E5)+(Q5-P5)</f>
        <v>1.7361111111111112e-02</v>
      </c>
      <c r="H5" s="38">
        <v>1</v>
      </c>
      <c r="I5" s="83">
        <v>0</v>
      </c>
      <c r="J5" s="83">
        <v>7.6388888888888886e-03</v>
      </c>
      <c r="K5" s="83">
        <f>(J5-I5)+(S5-R5)</f>
        <v>7.6388888888888886e-03</v>
      </c>
      <c r="L5" s="48"/>
      <c r="M5" s="38">
        <v>1</v>
      </c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1409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1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1410</v>
      </c>
      <c r="C7" s="83">
        <f>Sum(G7,K7)</f>
        <v>2.2222222222222223e-02</v>
      </c>
      <c r="D7" s="38">
        <v>0</v>
      </c>
      <c r="E7" s="83">
        <v>8.3333333333333332e-03</v>
      </c>
      <c r="F7" s="83">
        <v>1.7361111111111112e-02</v>
      </c>
      <c r="G7" s="83">
        <f>(F7-E7)+(Q7-P7)</f>
        <v>9.0277777777777769e-03</v>
      </c>
      <c r="H7" s="38">
        <v>0</v>
      </c>
      <c r="I7" s="83">
        <v>4.1666666666666666e-03</v>
      </c>
      <c r="J7" s="83">
        <v>1.7361111111111112e-02</v>
      </c>
      <c r="K7" s="83">
        <f>(J7-I7)+(S7-R7)</f>
        <v>1.3194444444444444e-02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1411</v>
      </c>
      <c r="C8" s="83">
        <f>Sum(G8,K8)</f>
        <v>1.9444444444444445e-02</v>
      </c>
      <c r="D8" s="38">
        <v>1</v>
      </c>
      <c r="E8" s="83">
        <v>0</v>
      </c>
      <c r="F8" s="83">
        <v>9.0277777777777769e-03</v>
      </c>
      <c r="G8" s="83">
        <f>(F8-E8)+(Q8-P8)</f>
        <v>9.0277777777777769e-03</v>
      </c>
      <c r="H8" s="38">
        <v>0</v>
      </c>
      <c r="I8" s="83">
        <v>6.9444444444444441e-03</v>
      </c>
      <c r="J8" s="83">
        <v>1.7361111111111112e-02</v>
      </c>
      <c r="K8" s="83">
        <f>(J8-I8)+(S8-R8)</f>
        <v>1.0416666666666666e-02</v>
      </c>
      <c r="L8" s="38">
        <v>2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1412</v>
      </c>
      <c r="C9" s="83">
        <f>Sum(G9,K9)</f>
        <v>1.4583333333333334e-02</v>
      </c>
      <c r="D9" s="38">
        <v>1</v>
      </c>
      <c r="E9" s="83">
        <v>0</v>
      </c>
      <c r="F9" s="83">
        <v>7.6388888888888886e-03</v>
      </c>
      <c r="G9" s="83">
        <f>(F9-E9)+(Q9-P9)</f>
        <v>7.6388888888888886e-03</v>
      </c>
      <c r="H9" s="38">
        <v>1</v>
      </c>
      <c r="I9" s="83">
        <v>0</v>
      </c>
      <c r="J9" s="83">
        <v>6.9444444444444441e-03</v>
      </c>
      <c r="K9" s="83">
        <f>(J9-I9)+(S9-R9)</f>
        <v>6.9444444444444441e-03</v>
      </c>
      <c r="L9" s="38">
        <v>1</v>
      </c>
      <c r="M9" s="38">
        <v>1</v>
      </c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1413</v>
      </c>
      <c r="C10" s="83">
        <f>Sum(G10,K10)</f>
        <v>1.9791666666666666e-02</v>
      </c>
      <c r="D10" s="38">
        <v>0</v>
      </c>
      <c r="E10" s="83">
        <v>9.3749999999999997e-03</v>
      </c>
      <c r="F10" s="83">
        <v>1.7361111111111112e-02</v>
      </c>
      <c r="G10" s="83">
        <f>(F10-E10)+(Q10-P10)</f>
        <v>7.9861111111111105e-03</v>
      </c>
      <c r="H10" s="38">
        <v>1</v>
      </c>
      <c r="I10" s="83">
        <v>0</v>
      </c>
      <c r="J10" s="83">
        <v>1.1805555555555555e-02</v>
      </c>
      <c r="K10" s="83">
        <f>(J10-I10)+(S10-R10)</f>
        <v>1.1805555555555555e-02</v>
      </c>
      <c r="L10" s="48"/>
      <c r="M10" s="38">
        <v>1</v>
      </c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1414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1415</v>
      </c>
      <c r="C12" s="83">
        <f>Sum(G12,K12)</f>
        <v>1.7361111111111112e-02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0</v>
      </c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1416</v>
      </c>
      <c r="C13" s="83">
        <f>Sum(G13,K13)</f>
        <v>0</v>
      </c>
      <c r="D13" s="38">
        <v>0</v>
      </c>
      <c r="E13" s="83">
        <v>0</v>
      </c>
      <c r="F13" s="83">
        <v>0</v>
      </c>
      <c r="G13" s="83">
        <f>(F13-E13)+(Q13-P13)</f>
        <v>0</v>
      </c>
      <c r="H13" s="38">
        <v>0</v>
      </c>
      <c r="I13" s="83">
        <v>0</v>
      </c>
      <c r="J13" s="83">
        <v>0</v>
      </c>
      <c r="K13" s="83">
        <f>(J13-I13)+(S13-R13)</f>
        <v>0</v>
      </c>
      <c r="L13" s="48"/>
      <c r="M13" s="48"/>
      <c r="N13" s="72"/>
      <c r="O13" s="38">
        <v>0</v>
      </c>
      <c r="P13" s="48"/>
      <c r="Q13" s="48"/>
      <c r="R13" s="48"/>
      <c r="S13" s="48"/>
    </row>
    <row r="14">
      <c r="A14" s="81">
        <v>15</v>
      </c>
      <c r="B14" s="48" t="s">
        <v>1417</v>
      </c>
      <c r="C14" s="83">
        <f>Sum(G14,K14)</f>
        <v>2.4305555555555556e-02</v>
      </c>
      <c r="D14" s="38">
        <v>1</v>
      </c>
      <c r="E14" s="83">
        <v>0</v>
      </c>
      <c r="F14" s="83">
        <v>9.3749999999999997e-03</v>
      </c>
      <c r="G14" s="83">
        <f>(F14-E14)+(Q14-P14)</f>
        <v>9.3749999999999997e-03</v>
      </c>
      <c r="H14" s="38">
        <v>1</v>
      </c>
      <c r="I14" s="83">
        <v>0</v>
      </c>
      <c r="J14" s="83">
        <v>9.3749999999999997e-03</v>
      </c>
      <c r="K14" s="83">
        <f>(J14-I14)+(S14-R14)</f>
        <v>1.4930555555555556e-02</v>
      </c>
      <c r="L14" s="48"/>
      <c r="M14" s="48"/>
      <c r="N14" s="72"/>
      <c r="O14" s="38">
        <v>1</v>
      </c>
      <c r="P14" s="48"/>
      <c r="Q14" s="48"/>
      <c r="R14" s="83">
        <v>1.1805555555555555e-02</v>
      </c>
      <c r="S14" s="83">
        <v>1.7361111111111112e-02</v>
      </c>
    </row>
    <row r="15">
      <c r="A15" s="81">
        <v>16</v>
      </c>
      <c r="B15" s="48" t="s">
        <v>1418</v>
      </c>
      <c r="C15" s="83">
        <f>Sum(G15,K15)</f>
        <v>1.5972222222222221e-02</v>
      </c>
      <c r="D15" s="38">
        <v>0</v>
      </c>
      <c r="E15" s="83">
        <v>9.3749999999999997e-03</v>
      </c>
      <c r="F15" s="83">
        <v>1.7361111111111112e-02</v>
      </c>
      <c r="G15" s="83">
        <f>(F15-E15)+(Q15-P15)</f>
        <v>7.9861111111111105e-03</v>
      </c>
      <c r="H15" s="38">
        <v>0</v>
      </c>
      <c r="I15" s="83">
        <v>9.3749999999999997e-03</v>
      </c>
      <c r="J15" s="83">
        <v>1.7361111111111112e-02</v>
      </c>
      <c r="K15" s="83">
        <f>(J15-I15)+(S15-R15)</f>
        <v>7.9861111111111105e-03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1419</v>
      </c>
      <c r="C16" s="83">
        <f>Sum(G16,K16)</f>
        <v>2.1527777777777778e-02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4.1666666666666666e-03</v>
      </c>
      <c r="K16" s="83">
        <f>(J16-I16)+(S16-R16)</f>
        <v>4.1666666666666666e-03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1420</v>
      </c>
      <c r="C17" s="83">
        <f>Sum(G17,K17)</f>
        <v>0</v>
      </c>
      <c r="D17" s="38">
        <v>0</v>
      </c>
      <c r="E17" s="83">
        <v>0</v>
      </c>
      <c r="F17" s="83">
        <v>0</v>
      </c>
      <c r="G17" s="83">
        <f>(F17-E17)+(Q17-P17)</f>
        <v>0</v>
      </c>
      <c r="H17" s="38">
        <v>0</v>
      </c>
      <c r="I17" s="83">
        <v>0</v>
      </c>
      <c r="J17" s="83">
        <v>0</v>
      </c>
      <c r="K17" s="83">
        <f>(J17-I17)+(S17-R17)</f>
        <v>0</v>
      </c>
      <c r="L17" s="48"/>
      <c r="M17" s="48"/>
      <c r="N17" s="72"/>
      <c r="O17" s="38">
        <v>0</v>
      </c>
      <c r="P17" s="48"/>
      <c r="Q17" s="48"/>
      <c r="R17" s="48"/>
      <c r="S17" s="48"/>
    </row>
    <row r="18">
      <c r="A18" s="27"/>
      <c r="B18" s="48"/>
      <c r="C18" s="72"/>
      <c r="K18" s="87" t="s">
        <v>1421</v>
      </c>
      <c r="L18" s="91">
        <v>1</v>
      </c>
      <c r="M18" s="48"/>
      <c r="N18" s="38">
        <v>1</v>
      </c>
      <c r="O18" s="89">
        <v>1</v>
      </c>
      <c r="P18" s="72"/>
      <c r="S18" s="72"/>
    </row>
  </sheetData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1422</v>
      </c>
      <c r="B1" s="9" t="s">
        <v>1423</v>
      </c>
      <c r="C1" s="9" t="s">
        <v>1424</v>
      </c>
      <c r="D1" s="9" t="s">
        <v>1425</v>
      </c>
      <c r="E1" s="9" t="s">
        <v>1426</v>
      </c>
      <c r="F1" s="9" t="s">
        <v>1427</v>
      </c>
      <c r="G1" s="9" t="s">
        <v>1428</v>
      </c>
      <c r="H1" s="9" t="s">
        <v>1429</v>
      </c>
      <c r="I1" s="9" t="s">
        <v>1430</v>
      </c>
      <c r="J1" s="9" t="s">
        <v>1431</v>
      </c>
      <c r="K1" s="9" t="s">
        <v>1432</v>
      </c>
      <c r="L1" s="9" t="s">
        <v>1433</v>
      </c>
      <c r="M1" s="9" t="s">
        <v>1434</v>
      </c>
      <c r="N1" s="9" t="s">
        <v>1435</v>
      </c>
      <c r="O1" s="9" t="s">
        <v>1436</v>
      </c>
      <c r="P1" s="9" t="s">
        <v>1437</v>
      </c>
      <c r="Q1" s="9" t="s">
        <v>1438</v>
      </c>
      <c r="R1" s="9" t="s">
        <v>1439</v>
      </c>
      <c r="S1" s="9" t="s">
        <v>1440</v>
      </c>
    </row>
    <row r="2">
      <c r="A2" s="81">
        <v>1</v>
      </c>
      <c r="B2" s="48" t="s">
        <v>1441</v>
      </c>
      <c r="C2" s="83">
        <f>Sum(G2,K2)</f>
        <v>0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0</v>
      </c>
      <c r="P2" s="48"/>
      <c r="Q2" s="48"/>
      <c r="R2" s="48"/>
      <c r="S2" s="48"/>
    </row>
    <row r="3">
      <c r="A3" s="81">
        <v>2</v>
      </c>
      <c r="B3" s="48" t="s">
        <v>1442</v>
      </c>
      <c r="C3" s="83">
        <f>Sum(G3,K3)</f>
        <v>0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0</v>
      </c>
      <c r="I3" s="83">
        <v>0</v>
      </c>
      <c r="J3" s="83">
        <v>0</v>
      </c>
      <c r="K3" s="83">
        <f>(J3-I3)+(S3-R3)</f>
        <v>0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1443</v>
      </c>
      <c r="C4" s="83">
        <f>Sum(G4,K4)</f>
        <v>0</v>
      </c>
      <c r="D4" s="38">
        <v>1</v>
      </c>
      <c r="E4" s="83">
        <v>0</v>
      </c>
      <c r="F4" s="83">
        <v>0</v>
      </c>
      <c r="G4" s="83">
        <f>(F4-E4)+(Q4-P4)</f>
        <v>0</v>
      </c>
      <c r="H4" s="38">
        <v>1</v>
      </c>
      <c r="I4" s="83">
        <v>0</v>
      </c>
      <c r="J4" s="83">
        <v>0</v>
      </c>
      <c r="K4" s="83">
        <f>(J4-I4)+(S4-R4)</f>
        <v>0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1444</v>
      </c>
      <c r="C5" s="83">
        <f>Sum(G5,K5)</f>
        <v>0</v>
      </c>
      <c r="D5" s="38">
        <v>0</v>
      </c>
      <c r="E5" s="83">
        <v>0</v>
      </c>
      <c r="F5" s="83">
        <v>0</v>
      </c>
      <c r="G5" s="83">
        <f>(F5-E5)+(Q5-P5)</f>
        <v>0</v>
      </c>
      <c r="H5" s="38">
        <v>1</v>
      </c>
      <c r="I5" s="83">
        <v>0</v>
      </c>
      <c r="J5" s="83">
        <v>0</v>
      </c>
      <c r="K5" s="83">
        <f>(J5-I5)+(S5-R5)</f>
        <v>0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1445</v>
      </c>
      <c r="C6" s="83">
        <f>Sum(G6,K6)</f>
        <v>0</v>
      </c>
      <c r="D6" s="38">
        <v>1</v>
      </c>
      <c r="E6" s="83">
        <v>0</v>
      </c>
      <c r="F6" s="83">
        <v>0</v>
      </c>
      <c r="G6" s="83">
        <f>(F6-E6)+(Q6-P6)</f>
        <v>0</v>
      </c>
      <c r="H6" s="38">
        <v>0</v>
      </c>
      <c r="I6" s="83">
        <v>0</v>
      </c>
      <c r="J6" s="83">
        <v>0</v>
      </c>
      <c r="K6" s="83">
        <f>(J6-I6)+(S6-R6)</f>
        <v>0</v>
      </c>
      <c r="L6" s="38">
        <v>1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1446</v>
      </c>
      <c r="C7" s="83">
        <f>Sum(G7,K7)</f>
        <v>0</v>
      </c>
      <c r="D7" s="38">
        <v>0</v>
      </c>
      <c r="E7" s="83">
        <v>0</v>
      </c>
      <c r="F7" s="83">
        <v>0</v>
      </c>
      <c r="G7" s="83">
        <f>(F7-E7)+(Q7-P7)</f>
        <v>0</v>
      </c>
      <c r="H7" s="38">
        <v>0</v>
      </c>
      <c r="I7" s="83">
        <v>0</v>
      </c>
      <c r="J7" s="83">
        <v>0</v>
      </c>
      <c r="K7" s="83">
        <f>(J7-I7)+(S7-R7)</f>
        <v>0</v>
      </c>
      <c r="L7" s="48"/>
      <c r="M7" s="48"/>
      <c r="N7" s="72"/>
      <c r="O7" s="38">
        <v>0</v>
      </c>
      <c r="P7" s="48"/>
      <c r="Q7" s="48"/>
      <c r="R7" s="48"/>
      <c r="S7" s="48"/>
    </row>
    <row r="8">
      <c r="A8" s="81">
        <v>7</v>
      </c>
      <c r="B8" s="48" t="s">
        <v>1447</v>
      </c>
      <c r="C8" s="83">
        <f>Sum(G8,K8)</f>
        <v>0</v>
      </c>
      <c r="D8" s="38">
        <v>0</v>
      </c>
      <c r="E8" s="83">
        <v>0</v>
      </c>
      <c r="F8" s="83">
        <v>0</v>
      </c>
      <c r="G8" s="83">
        <f>(F8-E8)+(Q8-P8)</f>
        <v>0</v>
      </c>
      <c r="H8" s="38">
        <v>0</v>
      </c>
      <c r="I8" s="83">
        <v>0</v>
      </c>
      <c r="J8" s="83">
        <v>0</v>
      </c>
      <c r="K8" s="83">
        <f>(J8-I8)+(S8-R8)</f>
        <v>0</v>
      </c>
      <c r="L8" s="48"/>
      <c r="M8" s="48"/>
      <c r="N8" s="72"/>
      <c r="O8" s="38">
        <v>0</v>
      </c>
      <c r="P8" s="48"/>
      <c r="Q8" s="48"/>
      <c r="R8" s="48"/>
      <c r="S8" s="48"/>
    </row>
    <row r="9">
      <c r="A9" s="81">
        <v>8</v>
      </c>
      <c r="B9" s="48" t="s">
        <v>1448</v>
      </c>
      <c r="C9" s="83">
        <f>Sum(G9,K9)</f>
        <v>0</v>
      </c>
      <c r="D9" s="38">
        <v>1</v>
      </c>
      <c r="E9" s="83">
        <v>0</v>
      </c>
      <c r="F9" s="83">
        <v>0</v>
      </c>
      <c r="G9" s="83">
        <f>(F9-E9)+(Q9-P9)</f>
        <v>0</v>
      </c>
      <c r="H9" s="38">
        <v>1</v>
      </c>
      <c r="I9" s="83">
        <v>0</v>
      </c>
      <c r="J9" s="83">
        <v>0</v>
      </c>
      <c r="K9" s="83">
        <f>(J9-I9)+(S9-R9)</f>
        <v>0</v>
      </c>
      <c r="L9" s="38">
        <v>2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1449</v>
      </c>
      <c r="C10" s="83">
        <f>Sum(G10,K10)</f>
        <v>0</v>
      </c>
      <c r="D10" s="38">
        <v>0</v>
      </c>
      <c r="E10" s="83">
        <v>0</v>
      </c>
      <c r="F10" s="83">
        <v>0</v>
      </c>
      <c r="G10" s="83">
        <f>(F10-E10)+(Q10-P10)</f>
        <v>0</v>
      </c>
      <c r="H10" s="38">
        <v>0</v>
      </c>
      <c r="I10" s="83">
        <v>0</v>
      </c>
      <c r="J10" s="83">
        <v>0</v>
      </c>
      <c r="K10" s="83">
        <f>(J10-I10)+(S10-R10)</f>
        <v>0</v>
      </c>
      <c r="L10" s="38">
        <v>1</v>
      </c>
      <c r="M10" s="48"/>
      <c r="N10" s="72"/>
      <c r="O10" s="38">
        <v>1</v>
      </c>
      <c r="P10" s="48"/>
      <c r="Q10" s="48"/>
      <c r="R10" s="48"/>
      <c r="S10" s="48"/>
    </row>
    <row r="11">
      <c r="A11" s="81">
        <v>10</v>
      </c>
      <c r="B11" s="48" t="s">
        <v>1450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1451</v>
      </c>
      <c r="C12" s="83">
        <f>Sum(G12,K12)</f>
        <v>3.4722222222222224e-02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1452</v>
      </c>
      <c r="C13" s="83">
        <f>Sum(G13,K13)</f>
        <v>0</v>
      </c>
      <c r="D13" s="38">
        <v>1</v>
      </c>
      <c r="E13" s="83">
        <v>0</v>
      </c>
      <c r="F13" s="83">
        <v>0</v>
      </c>
      <c r="G13" s="83">
        <f>(F13-E13)+(Q13-P13)</f>
        <v>0</v>
      </c>
      <c r="H13" s="38">
        <v>1</v>
      </c>
      <c r="I13" s="83">
        <v>0</v>
      </c>
      <c r="J13" s="83">
        <v>0</v>
      </c>
      <c r="K13" s="83">
        <f>(J13-I13)+(S13-R13)</f>
        <v>0</v>
      </c>
      <c r="L13" s="38">
        <v>2</v>
      </c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1453</v>
      </c>
      <c r="C14" s="83">
        <f>Sum(G14,K14)</f>
        <v>0</v>
      </c>
      <c r="D14" s="38">
        <v>1</v>
      </c>
      <c r="E14" s="83">
        <v>0</v>
      </c>
      <c r="F14" s="83">
        <v>0</v>
      </c>
      <c r="G14" s="83">
        <f>(F14-E14)+(Q14-P14)</f>
        <v>0</v>
      </c>
      <c r="H14" s="38">
        <v>1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1454</v>
      </c>
      <c r="C15" s="83">
        <f>Sum(G15,K15)</f>
        <v>0</v>
      </c>
      <c r="D15" s="38">
        <v>0</v>
      </c>
      <c r="E15" s="83">
        <v>0</v>
      </c>
      <c r="F15" s="83">
        <v>0</v>
      </c>
      <c r="G15" s="83">
        <f>(F15-E15)+(Q15-P15)</f>
        <v>0</v>
      </c>
      <c r="H15" s="38">
        <v>0</v>
      </c>
      <c r="I15" s="83">
        <v>0</v>
      </c>
      <c r="J15" s="83">
        <v>0</v>
      </c>
      <c r="K15" s="83">
        <f>(J15-I15)+(S15-R15)</f>
        <v>0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1455</v>
      </c>
      <c r="C16" s="83">
        <f>Sum(G16,K16)</f>
        <v>0</v>
      </c>
      <c r="D16" s="38">
        <v>1</v>
      </c>
      <c r="E16" s="83">
        <v>0</v>
      </c>
      <c r="F16" s="83">
        <v>0</v>
      </c>
      <c r="G16" s="83">
        <f>(F16-E16)+(Q16-P16)</f>
        <v>0</v>
      </c>
      <c r="H16" s="38">
        <v>1</v>
      </c>
      <c r="I16" s="83">
        <v>0</v>
      </c>
      <c r="J16" s="83">
        <v>0</v>
      </c>
      <c r="K16" s="83">
        <f>(J16-I16)+(S16-R16)</f>
        <v>0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1456</v>
      </c>
      <c r="C17" s="83">
        <f>Sum(G17,K17)</f>
        <v>0</v>
      </c>
      <c r="D17" s="38">
        <v>1</v>
      </c>
      <c r="E17" s="83">
        <v>0</v>
      </c>
      <c r="F17" s="83">
        <v>0</v>
      </c>
      <c r="G17" s="83">
        <f>(F17-E17)+(Q17-P17)</f>
        <v>0</v>
      </c>
      <c r="H17" s="38">
        <v>1</v>
      </c>
      <c r="I17" s="83">
        <v>0</v>
      </c>
      <c r="J17" s="83">
        <v>0</v>
      </c>
      <c r="K17" s="83">
        <f>(J17-I17)+(S17-R17)</f>
        <v>0</v>
      </c>
      <c r="L17" s="38">
        <v>1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G18" s="92" t="s">
        <v>1457</v>
      </c>
      <c r="H18" s="93">
        <v>1</v>
      </c>
      <c r="I18" s="94" t="s">
        <v>1458</v>
      </c>
      <c r="J18" s="95"/>
      <c r="K18" s="87" t="s">
        <v>1459</v>
      </c>
      <c r="L18" s="88"/>
      <c r="M18" s="48"/>
      <c r="N18" s="38">
        <v>4</v>
      </c>
      <c r="O18" s="89">
        <v>1</v>
      </c>
      <c r="P18" s="72"/>
      <c r="S18" s="72"/>
    </row>
  </sheetData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1460</v>
      </c>
      <c r="B1" s="9" t="s">
        <v>1461</v>
      </c>
      <c r="C1" s="9" t="s">
        <v>1462</v>
      </c>
      <c r="D1" s="9" t="s">
        <v>1463</v>
      </c>
      <c r="E1" s="9" t="s">
        <v>1464</v>
      </c>
      <c r="F1" s="9" t="s">
        <v>1465</v>
      </c>
      <c r="G1" s="9" t="s">
        <v>1466</v>
      </c>
      <c r="H1" s="9" t="s">
        <v>1467</v>
      </c>
      <c r="I1" s="9" t="s">
        <v>1468</v>
      </c>
      <c r="J1" s="9" t="s">
        <v>1469</v>
      </c>
      <c r="K1" s="9" t="s">
        <v>1470</v>
      </c>
      <c r="L1" s="9" t="s">
        <v>1471</v>
      </c>
      <c r="M1" s="9" t="s">
        <v>1472</v>
      </c>
      <c r="N1" s="9" t="s">
        <v>1473</v>
      </c>
      <c r="O1" s="9" t="s">
        <v>1474</v>
      </c>
      <c r="P1" s="9" t="s">
        <v>1475</v>
      </c>
      <c r="Q1" s="9" t="s">
        <v>1476</v>
      </c>
      <c r="R1" s="9" t="s">
        <v>1477</v>
      </c>
      <c r="S1" s="9" t="s">
        <v>1478</v>
      </c>
    </row>
    <row r="2">
      <c r="A2" s="81">
        <v>1</v>
      </c>
      <c r="B2" s="48" t="s">
        <v>1479</v>
      </c>
      <c r="C2" s="83">
        <f>Sum(G2,K2)</f>
        <v>0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0</v>
      </c>
      <c r="P2" s="48"/>
      <c r="Q2" s="48"/>
      <c r="R2" s="48"/>
      <c r="S2" s="48"/>
    </row>
    <row r="3">
      <c r="A3" s="81">
        <v>2</v>
      </c>
      <c r="B3" s="48" t="s">
        <v>1480</v>
      </c>
      <c r="C3" s="83">
        <f>Sum(G3,K3)</f>
        <v>9.7222222222222224e-03</v>
      </c>
      <c r="D3" s="38">
        <v>0</v>
      </c>
      <c r="E3" s="83">
        <v>1.3194444444444444e-02</v>
      </c>
      <c r="F3" s="83">
        <v>1.7361111111111112e-02</v>
      </c>
      <c r="G3" s="83">
        <f>(F3-E3)+(Q3-P3)</f>
        <v>4.1666666666666666e-03</v>
      </c>
      <c r="H3" s="38">
        <v>0</v>
      </c>
      <c r="I3" s="83">
        <v>1.1805555555555555e-02</v>
      </c>
      <c r="J3" s="83">
        <v>1.7361111111111112e-02</v>
      </c>
      <c r="K3" s="83">
        <f>(J3-I3)+(S3-R3)</f>
        <v>5.5555555555555558e-03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1481</v>
      </c>
      <c r="C4" s="83">
        <f>Sum(G4,K4)</f>
        <v>2.1180555555555557e-02</v>
      </c>
      <c r="D4" s="38">
        <v>1</v>
      </c>
      <c r="E4" s="83">
        <v>0</v>
      </c>
      <c r="F4" s="83">
        <v>9.0277777777777769e-03</v>
      </c>
      <c r="G4" s="83">
        <f>(F4-E4)+(Q4-P4)</f>
        <v>9.0277777777777769e-03</v>
      </c>
      <c r="H4" s="38">
        <v>0</v>
      </c>
      <c r="I4" s="83">
        <v>5.208333333333333e-03</v>
      </c>
      <c r="J4" s="83">
        <v>1.7361111111111112e-02</v>
      </c>
      <c r="K4" s="83">
        <f>(J4-I4)+(S4-R4)</f>
        <v>1.2152777777777778e-02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1482</v>
      </c>
      <c r="C5" s="83">
        <f>Sum(G5,K5)</f>
        <v>1.3194444444444444e-02</v>
      </c>
      <c r="D5" s="38">
        <v>0</v>
      </c>
      <c r="E5" s="83">
        <v>9.0277777777777769e-03</v>
      </c>
      <c r="F5" s="83">
        <v>1.7361111111111112e-02</v>
      </c>
      <c r="G5" s="83">
        <f>(F5-E5)+(Q5-P5)</f>
        <v>8.3333333333333332e-03</v>
      </c>
      <c r="H5" s="38">
        <v>0</v>
      </c>
      <c r="I5" s="83">
        <v>1.2500000000000001e-02</v>
      </c>
      <c r="J5" s="83">
        <v>1.7361111111111112e-02</v>
      </c>
      <c r="K5" s="83">
        <f>(J5-I5)+(S5-R5)</f>
        <v>4.8611111111111112e-03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1483</v>
      </c>
      <c r="C6" s="83">
        <f>Sum(G6,K6)</f>
        <v>4.5138888888888885e-03</v>
      </c>
      <c r="D6" s="38">
        <v>0</v>
      </c>
      <c r="E6" s="83">
        <v>0</v>
      </c>
      <c r="F6" s="83">
        <v>0</v>
      </c>
      <c r="G6" s="83">
        <f>(F6-E6)+(Q6-P6)</f>
        <v>0</v>
      </c>
      <c r="H6" s="38">
        <v>0</v>
      </c>
      <c r="I6" s="83">
        <v>1.2847222222222222e-02</v>
      </c>
      <c r="J6" s="83">
        <v>1.7361111111111112e-02</v>
      </c>
      <c r="K6" s="83">
        <f>(J6-I6)+(S6-R6)</f>
        <v>4.5138888888888885e-03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1484</v>
      </c>
      <c r="C7" s="83">
        <f>Sum(G7,K7)</f>
        <v>2.0833333333333332e-02</v>
      </c>
      <c r="D7" s="38">
        <v>0</v>
      </c>
      <c r="E7" s="83">
        <v>9.0277777777777769e-03</v>
      </c>
      <c r="F7" s="83">
        <v>1.7361111111111112e-02</v>
      </c>
      <c r="G7" s="83">
        <f>(F7-E7)+(Q7-P7)</f>
        <v>8.3333333333333332e-03</v>
      </c>
      <c r="H7" s="38">
        <v>1</v>
      </c>
      <c r="I7" s="83">
        <v>0</v>
      </c>
      <c r="J7" s="83">
        <v>1.2500000000000001e-02</v>
      </c>
      <c r="K7" s="83">
        <f>(J7-I7)+(S7-R7)</f>
        <v>1.2500000000000001e-02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1485</v>
      </c>
      <c r="C8" s="83">
        <f>Sum(G8,K8)</f>
        <v>2.2222222222222223e-02</v>
      </c>
      <c r="D8" s="38">
        <v>1</v>
      </c>
      <c r="E8" s="83">
        <v>0</v>
      </c>
      <c r="F8" s="83">
        <v>1.0416666666666666e-02</v>
      </c>
      <c r="G8" s="83">
        <f>(F8-E8)+(Q8-P8)</f>
        <v>1.0416666666666666e-02</v>
      </c>
      <c r="H8" s="38">
        <v>1</v>
      </c>
      <c r="I8" s="83">
        <v>0</v>
      </c>
      <c r="J8" s="83">
        <v>1.1805555555555555e-02</v>
      </c>
      <c r="K8" s="83">
        <f>(J8-I8)+(S8-R8)</f>
        <v>1.1805555555555555e-02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1486</v>
      </c>
      <c r="C9" s="83">
        <f>Sum(G9,K9)</f>
        <v>0</v>
      </c>
      <c r="D9" s="38">
        <v>0</v>
      </c>
      <c r="E9" s="83">
        <v>0</v>
      </c>
      <c r="F9" s="83">
        <v>0</v>
      </c>
      <c r="G9" s="83">
        <f>(F9-E9)+(Q9-P9)</f>
        <v>0</v>
      </c>
      <c r="H9" s="38">
        <v>0</v>
      </c>
      <c r="I9" s="83">
        <v>0</v>
      </c>
      <c r="J9" s="83">
        <v>0</v>
      </c>
      <c r="K9" s="83">
        <f>(J9-I9)+(S9-R9)</f>
        <v>0</v>
      </c>
      <c r="L9" s="48"/>
      <c r="M9" s="48"/>
      <c r="N9" s="72"/>
      <c r="O9" s="38">
        <v>0</v>
      </c>
      <c r="P9" s="48"/>
      <c r="Q9" s="48"/>
      <c r="R9" s="48"/>
      <c r="S9" s="48"/>
    </row>
    <row r="10">
      <c r="A10" s="81">
        <v>9</v>
      </c>
      <c r="B10" s="48" t="s">
        <v>1487</v>
      </c>
      <c r="C10" s="83">
        <f>Sum(G10,K10)</f>
        <v>2.0486111111111111e-02</v>
      </c>
      <c r="D10" s="38">
        <v>1</v>
      </c>
      <c r="E10" s="83">
        <v>0</v>
      </c>
      <c r="F10" s="83">
        <v>1.3194444444444444e-02</v>
      </c>
      <c r="G10" s="83">
        <f>(F10-E10)+(Q10-P10)</f>
        <v>1.3194444444444444e-02</v>
      </c>
      <c r="H10" s="38">
        <v>1</v>
      </c>
      <c r="I10" s="83">
        <v>0</v>
      </c>
      <c r="J10" s="83">
        <v>5.208333333333333e-03</v>
      </c>
      <c r="K10" s="83">
        <f>(J10-I10)+(S10-R10)</f>
        <v>7.2916666666666668e-03</v>
      </c>
      <c r="L10" s="48"/>
      <c r="M10" s="48"/>
      <c r="N10" s="72"/>
      <c r="O10" s="38">
        <v>1</v>
      </c>
      <c r="P10" s="48"/>
      <c r="Q10" s="48"/>
      <c r="R10" s="83">
        <v>1.5277777777777777e-02</v>
      </c>
      <c r="S10" s="83">
        <v>1.7361111111111112e-02</v>
      </c>
    </row>
    <row r="11">
      <c r="A11" s="81">
        <v>10</v>
      </c>
      <c r="B11" s="48" t="s">
        <v>1488</v>
      </c>
      <c r="C11" s="83">
        <f>Sum(G11,K11)</f>
        <v>0</v>
      </c>
      <c r="D11" s="38">
        <v>0</v>
      </c>
      <c r="E11" s="83">
        <v>0</v>
      </c>
      <c r="F11" s="83">
        <v>0</v>
      </c>
      <c r="G11" s="83">
        <f>(F11-E11)+(Q11-P11)</f>
        <v>0</v>
      </c>
      <c r="H11" s="38">
        <v>0</v>
      </c>
      <c r="I11" s="83">
        <v>0</v>
      </c>
      <c r="J11" s="83">
        <v>0</v>
      </c>
      <c r="K11" s="83">
        <f>(J11-I11)+(S11-R11)</f>
        <v>0</v>
      </c>
      <c r="L11" s="48"/>
      <c r="M11" s="48"/>
      <c r="N11" s="72"/>
      <c r="O11" s="38">
        <v>0</v>
      </c>
      <c r="P11" s="48"/>
      <c r="Q11" s="48"/>
      <c r="R11" s="48"/>
      <c r="S11" s="48"/>
    </row>
    <row r="12">
      <c r="A12" s="81">
        <v>11</v>
      </c>
      <c r="B12" s="48" t="s">
        <v>1489</v>
      </c>
      <c r="C12" s="83">
        <f>Sum(G12,K12)</f>
        <v>3.4722222222222224e-02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1490</v>
      </c>
      <c r="C13" s="83">
        <f>Sum(G13,K13)</f>
        <v>3.3680555555555554e-02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1.6319444444444445e-02</v>
      </c>
      <c r="K13" s="83">
        <f>(J13-I13)+(S13-R13)</f>
        <v>1.6319444444444445e-02</v>
      </c>
      <c r="L13" s="38">
        <v>1</v>
      </c>
      <c r="M13" s="38">
        <v>1</v>
      </c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1491</v>
      </c>
      <c r="C14" s="83">
        <f>Sum(G14,K14)</f>
        <v>1.7708333333333333e-02</v>
      </c>
      <c r="D14" s="38">
        <v>1</v>
      </c>
      <c r="E14" s="83">
        <v>0</v>
      </c>
      <c r="F14" s="83">
        <v>9.0277777777777769e-03</v>
      </c>
      <c r="G14" s="83">
        <f>(F14-E14)+(Q14-P14)</f>
        <v>9.0277777777777769e-03</v>
      </c>
      <c r="H14" s="38">
        <v>1</v>
      </c>
      <c r="I14" s="83">
        <v>0</v>
      </c>
      <c r="J14" s="83">
        <v>7.6388888888888886e-03</v>
      </c>
      <c r="K14" s="83">
        <f>(J14-I14)+(S14-R14)</f>
        <v>8.6805555555555559e-03</v>
      </c>
      <c r="L14" s="48"/>
      <c r="M14" s="48"/>
      <c r="N14" s="72"/>
      <c r="O14" s="38">
        <v>1</v>
      </c>
      <c r="P14" s="48"/>
      <c r="Q14" s="48"/>
      <c r="R14" s="83">
        <v>1.6319444444444445e-02</v>
      </c>
      <c r="S14" s="83">
        <v>1.7361111111111112e-02</v>
      </c>
    </row>
    <row r="15">
      <c r="A15" s="81">
        <v>16</v>
      </c>
      <c r="B15" s="48" t="s">
        <v>1492</v>
      </c>
      <c r="C15" s="83">
        <f>Sum(G15,K15)</f>
        <v>1.6666666666666666e-02</v>
      </c>
      <c r="D15" s="38">
        <v>0</v>
      </c>
      <c r="E15" s="83">
        <v>1.0416666666666666e-02</v>
      </c>
      <c r="F15" s="83">
        <v>1.7361111111111112e-02</v>
      </c>
      <c r="G15" s="83">
        <f>(F15-E15)+(Q15-P15)</f>
        <v>6.9444444444444441e-03</v>
      </c>
      <c r="H15" s="38">
        <v>0</v>
      </c>
      <c r="I15" s="83">
        <v>7.6388888888888886e-03</v>
      </c>
      <c r="J15" s="83">
        <v>1.7361111111111112e-02</v>
      </c>
      <c r="K15" s="83">
        <f>(J15-I15)+(S15-R15)</f>
        <v>9.7222222222222224e-03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1493</v>
      </c>
      <c r="C16" s="83">
        <f>Sum(G16,K16)</f>
        <v>3.2638888888888891e-02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1.5277777777777777e-02</v>
      </c>
      <c r="K16" s="83">
        <f>(J16-I16)+(S16-R16)</f>
        <v>1.5277777777777777e-02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1494</v>
      </c>
      <c r="C17" s="83">
        <f>Sum(G17,K17)</f>
        <v>3.0208333333333334e-02</v>
      </c>
      <c r="D17" s="38">
        <v>1</v>
      </c>
      <c r="E17" s="83">
        <v>0</v>
      </c>
      <c r="F17" s="83">
        <v>1.7361111111111112e-02</v>
      </c>
      <c r="G17" s="83">
        <f>(F17-E17)+(Q17-P17)</f>
        <v>1.7361111111111112e-02</v>
      </c>
      <c r="H17" s="38">
        <v>1</v>
      </c>
      <c r="I17" s="83">
        <v>0</v>
      </c>
      <c r="J17" s="83">
        <v>1.2847222222222222e-02</v>
      </c>
      <c r="K17" s="83">
        <f>(J17-I17)+(S17-R17)</f>
        <v>1.2847222222222222e-02</v>
      </c>
      <c r="L17" s="38">
        <v>2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1495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1496</v>
      </c>
      <c r="B1" s="9" t="s">
        <v>1497</v>
      </c>
      <c r="C1" s="9" t="s">
        <v>1498</v>
      </c>
      <c r="D1" s="9" t="s">
        <v>1499</v>
      </c>
      <c r="E1" s="9" t="s">
        <v>1500</v>
      </c>
      <c r="F1" s="9" t="s">
        <v>1501</v>
      </c>
      <c r="G1" s="9" t="s">
        <v>1502</v>
      </c>
      <c r="H1" s="9" t="s">
        <v>1503</v>
      </c>
      <c r="I1" s="9" t="s">
        <v>1504</v>
      </c>
      <c r="J1" s="9" t="s">
        <v>1505</v>
      </c>
      <c r="K1" s="9" t="s">
        <v>1506</v>
      </c>
      <c r="L1" s="9" t="s">
        <v>1507</v>
      </c>
      <c r="M1" s="9" t="s">
        <v>1508</v>
      </c>
      <c r="N1" s="9" t="s">
        <v>1509</v>
      </c>
      <c r="O1" s="9" t="s">
        <v>1510</v>
      </c>
      <c r="P1" s="9" t="s">
        <v>1511</v>
      </c>
      <c r="Q1" s="9" t="s">
        <v>1512</v>
      </c>
      <c r="R1" s="9" t="s">
        <v>1513</v>
      </c>
      <c r="S1" s="9" t="s">
        <v>1514</v>
      </c>
    </row>
    <row r="2">
      <c r="A2" s="81">
        <v>1</v>
      </c>
      <c r="B2" s="48" t="s">
        <v>1515</v>
      </c>
      <c r="C2" s="83">
        <f>Sum(G2,K2)</f>
        <v>1.7361111111111112e-02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0</v>
      </c>
      <c r="I2" s="83">
        <v>0</v>
      </c>
      <c r="J2" s="83">
        <v>0</v>
      </c>
      <c r="K2" s="83">
        <f>(J2-I2)+(S2-R2)</f>
        <v>0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4">
        <v>2</v>
      </c>
      <c r="B3" s="85" t="s">
        <v>1516</v>
      </c>
      <c r="C3" s="86">
        <f>Sum(G3,K3)</f>
        <v>0</v>
      </c>
      <c r="D3" s="96">
        <v>0</v>
      </c>
      <c r="E3" s="86">
        <v>0</v>
      </c>
      <c r="F3" s="86">
        <v>0</v>
      </c>
      <c r="G3" s="86">
        <f>(F3-E3)+(Q3-P3)</f>
        <v>0</v>
      </c>
      <c r="H3" s="96">
        <v>0</v>
      </c>
      <c r="I3" s="86">
        <v>0</v>
      </c>
      <c r="J3" s="86">
        <v>0</v>
      </c>
      <c r="K3" s="86">
        <f>(J3-I3)+(S3-R3)</f>
        <v>0</v>
      </c>
      <c r="L3" s="85"/>
      <c r="M3" s="85"/>
      <c r="N3" s="72"/>
      <c r="O3" s="96">
        <v>0</v>
      </c>
      <c r="P3" s="85"/>
      <c r="Q3" s="85"/>
      <c r="R3" s="85"/>
      <c r="S3" s="85"/>
    </row>
    <row r="4">
      <c r="A4" s="81">
        <v>3</v>
      </c>
      <c r="B4" s="48" t="s">
        <v>1517</v>
      </c>
      <c r="C4" s="83">
        <f>Sum(G4,K4)</f>
        <v>3.1944444444444442e-02</v>
      </c>
      <c r="D4" s="38">
        <v>1</v>
      </c>
      <c r="E4" s="83">
        <v>0</v>
      </c>
      <c r="F4" s="83">
        <v>1.7361111111111112e-02</v>
      </c>
      <c r="G4" s="83">
        <f>(F4-E4)+(Q4-P4)</f>
        <v>1.7361111111111112e-02</v>
      </c>
      <c r="H4" s="38">
        <v>1</v>
      </c>
      <c r="I4" s="83">
        <v>0</v>
      </c>
      <c r="J4" s="83">
        <v>1.4583333333333334e-02</v>
      </c>
      <c r="K4" s="83">
        <f>(J4-I4)+(S4-R4)</f>
        <v>1.4583333333333334e-02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1518</v>
      </c>
      <c r="C5" s="83">
        <f>Sum(G5,K5)</f>
        <v>6.9444444444444441e-03</v>
      </c>
      <c r="D5" s="38">
        <v>0</v>
      </c>
      <c r="E5" s="83">
        <v>1.3194444444444444e-02</v>
      </c>
      <c r="F5" s="83">
        <v>1.7361111111111112e-02</v>
      </c>
      <c r="G5" s="83">
        <f>(F5-E5)+(Q5-P5)</f>
        <v>4.1666666666666666e-03</v>
      </c>
      <c r="H5" s="38">
        <v>0</v>
      </c>
      <c r="I5" s="83">
        <v>1.4583333333333334e-02</v>
      </c>
      <c r="J5" s="83">
        <v>1.7361111111111112e-02</v>
      </c>
      <c r="K5" s="83">
        <f>(J5-I5)+(S5-R5)</f>
        <v>2.7777777777777779e-03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1519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38">
        <v>1</v>
      </c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1520</v>
      </c>
      <c r="C7" s="83">
        <f>Sum(G7,K7)</f>
        <v>1.8749999999999999e-02</v>
      </c>
      <c r="D7" s="38">
        <v>1</v>
      </c>
      <c r="E7" s="83">
        <v>0</v>
      </c>
      <c r="F7" s="83">
        <v>9.7222222222222224e-03</v>
      </c>
      <c r="G7" s="83">
        <f>(F7-E7)+(Q7-P7)</f>
        <v>9.7222222222222224e-03</v>
      </c>
      <c r="H7" s="38">
        <v>0</v>
      </c>
      <c r="I7" s="83">
        <v>8.3333333333333332e-03</v>
      </c>
      <c r="J7" s="83">
        <v>1.7361111111111112e-02</v>
      </c>
      <c r="K7" s="83">
        <f>(J7-I7)+(S7-R7)</f>
        <v>9.0277777777777769e-03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1521</v>
      </c>
      <c r="C8" s="83">
        <f>Sum(G8,K8)</f>
        <v>2.361111111111111e-02</v>
      </c>
      <c r="D8" s="38">
        <v>0</v>
      </c>
      <c r="E8" s="83">
        <v>9.7222222222222224e-03</v>
      </c>
      <c r="F8" s="83">
        <v>1.7361111111111112e-02</v>
      </c>
      <c r="G8" s="83">
        <f>(F8-E8)+(Q8-P8)</f>
        <v>7.6388888888888886e-03</v>
      </c>
      <c r="H8" s="38">
        <v>1</v>
      </c>
      <c r="I8" s="83">
        <v>0</v>
      </c>
      <c r="J8" s="83">
        <v>1.5972222222222221e-02</v>
      </c>
      <c r="K8" s="83">
        <f>(J8-I8)+(S8-R8)</f>
        <v>1.5972222222222221e-02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1522</v>
      </c>
      <c r="C9" s="83">
        <f>Sum(G9,K9)</f>
        <v>9.7222222222222224e-03</v>
      </c>
      <c r="D9" s="38">
        <v>1</v>
      </c>
      <c r="E9" s="83">
        <v>0</v>
      </c>
      <c r="F9" s="83">
        <v>0</v>
      </c>
      <c r="G9" s="83">
        <f>(F9-E9)+(Q9-P9)</f>
        <v>0</v>
      </c>
      <c r="H9" s="38">
        <v>1</v>
      </c>
      <c r="I9" s="83">
        <v>0</v>
      </c>
      <c r="J9" s="83">
        <v>8.3333333333333332e-03</v>
      </c>
      <c r="K9" s="83">
        <f>(J9-I9)+(S9-R9)</f>
        <v>9.7222222222222224e-03</v>
      </c>
      <c r="L9" s="48"/>
      <c r="M9" s="48"/>
      <c r="N9" s="72"/>
      <c r="O9" s="38">
        <v>1</v>
      </c>
      <c r="P9" s="48"/>
      <c r="Q9" s="48"/>
      <c r="R9" s="83">
        <v>1.5972222222222221e-02</v>
      </c>
      <c r="S9" s="83">
        <v>1.7361111111111112e-02</v>
      </c>
    </row>
    <row r="10">
      <c r="A10" s="81">
        <v>9</v>
      </c>
      <c r="B10" s="48" t="s">
        <v>1523</v>
      </c>
      <c r="C10" s="83">
        <f>Sum(G10,K10)</f>
        <v>1.4930555555555556e-02</v>
      </c>
      <c r="D10" s="38">
        <v>0</v>
      </c>
      <c r="E10" s="83">
        <v>9.7222222222222224e-03</v>
      </c>
      <c r="F10" s="83">
        <v>1.7361111111111112e-02</v>
      </c>
      <c r="G10" s="83">
        <f>(F10-E10)+(Q10-P10)</f>
        <v>7.6388888888888886e-03</v>
      </c>
      <c r="H10" s="38">
        <v>1</v>
      </c>
      <c r="I10" s="83">
        <v>0</v>
      </c>
      <c r="J10" s="83">
        <v>7.2916666666666668e-03</v>
      </c>
      <c r="K10" s="83">
        <f>(J10-I10)+(S10-R10)</f>
        <v>7.2916666666666668e-03</v>
      </c>
      <c r="L10" s="38">
        <v>1</v>
      </c>
      <c r="M10" s="48"/>
      <c r="N10" s="72"/>
      <c r="O10" s="38">
        <v>1</v>
      </c>
      <c r="P10" s="48"/>
      <c r="Q10" s="48"/>
      <c r="R10" s="48"/>
      <c r="S10" s="48"/>
    </row>
    <row r="11">
      <c r="A11" s="84">
        <v>10</v>
      </c>
      <c r="B11" s="85" t="s">
        <v>1524</v>
      </c>
      <c r="C11" s="86">
        <f>Sum(G11,K11)</f>
        <v>0</v>
      </c>
      <c r="D11" s="96">
        <v>0</v>
      </c>
      <c r="E11" s="86">
        <v>0</v>
      </c>
      <c r="F11" s="86">
        <v>0</v>
      </c>
      <c r="G11" s="86">
        <f>(F11-E11)+(Q11-P11)</f>
        <v>0</v>
      </c>
      <c r="H11" s="96">
        <v>0</v>
      </c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96">
        <v>0</v>
      </c>
      <c r="P11" s="85"/>
      <c r="Q11" s="85"/>
      <c r="R11" s="85"/>
      <c r="S11" s="85"/>
    </row>
    <row r="12">
      <c r="A12" s="81">
        <v>11</v>
      </c>
      <c r="B12" s="48" t="s">
        <v>1525</v>
      </c>
      <c r="C12" s="83">
        <f>Sum(G12,K12)</f>
        <v>1.7361111111111112e-02</v>
      </c>
      <c r="D12" s="38">
        <v>0</v>
      </c>
      <c r="E12" s="83">
        <v>0</v>
      </c>
      <c r="F12" s="83">
        <v>0</v>
      </c>
      <c r="G12" s="83">
        <f>(F12-E12)+(Q12-P12)</f>
        <v>0</v>
      </c>
      <c r="H12" s="38">
        <v>1</v>
      </c>
      <c r="I12" s="83">
        <v>0</v>
      </c>
      <c r="J12" s="83">
        <v>1.7361111111111112e-02</v>
      </c>
      <c r="K12" s="83">
        <f>(J12-I12)+(S12-R12)</f>
        <v>1.7361111111111112e-02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1526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4">
        <v>15</v>
      </c>
      <c r="B14" s="85" t="s">
        <v>1527</v>
      </c>
      <c r="C14" s="86">
        <f>Sum(G14,K14)</f>
        <v>0</v>
      </c>
      <c r="D14" s="96">
        <v>0</v>
      </c>
      <c r="E14" s="86">
        <v>0</v>
      </c>
      <c r="F14" s="86">
        <v>0</v>
      </c>
      <c r="G14" s="86">
        <f>(F14-E14)+(Q14-P14)</f>
        <v>0</v>
      </c>
      <c r="H14" s="96">
        <v>0</v>
      </c>
      <c r="I14" s="86">
        <v>0</v>
      </c>
      <c r="J14" s="86">
        <v>0</v>
      </c>
      <c r="K14" s="86">
        <f>(J14-I14)+(S14-R14)</f>
        <v>0</v>
      </c>
      <c r="L14" s="85"/>
      <c r="M14" s="85"/>
      <c r="N14" s="72"/>
      <c r="O14" s="96">
        <v>0</v>
      </c>
      <c r="P14" s="85"/>
      <c r="Q14" s="85"/>
      <c r="R14" s="85"/>
      <c r="S14" s="85"/>
    </row>
    <row r="15">
      <c r="A15" s="84">
        <v>16</v>
      </c>
      <c r="B15" s="85" t="s">
        <v>1528</v>
      </c>
      <c r="C15" s="86">
        <f>Sum(G15,K15)</f>
        <v>0</v>
      </c>
      <c r="D15" s="96">
        <v>0</v>
      </c>
      <c r="E15" s="86">
        <v>0</v>
      </c>
      <c r="F15" s="86">
        <v>0</v>
      </c>
      <c r="G15" s="86">
        <f>(F15-E15)+(Q15-P15)</f>
        <v>0</v>
      </c>
      <c r="H15" s="96">
        <v>0</v>
      </c>
      <c r="I15" s="86">
        <v>0</v>
      </c>
      <c r="J15" s="86">
        <v>0</v>
      </c>
      <c r="K15" s="86">
        <f>(J15-I15)+(S15-R15)</f>
        <v>0</v>
      </c>
      <c r="L15" s="85"/>
      <c r="M15" s="85"/>
      <c r="N15" s="72"/>
      <c r="O15" s="96">
        <v>0</v>
      </c>
      <c r="P15" s="85"/>
      <c r="Q15" s="85"/>
      <c r="R15" s="85"/>
      <c r="S15" s="85"/>
    </row>
    <row r="16">
      <c r="A16" s="81">
        <v>20</v>
      </c>
      <c r="B16" s="48" t="s">
        <v>1529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1530</v>
      </c>
      <c r="C17" s="83">
        <f>Sum(G17,K17)</f>
        <v>1.9791666666666666e-02</v>
      </c>
      <c r="D17" s="38">
        <v>1</v>
      </c>
      <c r="E17" s="83">
        <v>0</v>
      </c>
      <c r="F17" s="83">
        <v>9.7222222222222224e-03</v>
      </c>
      <c r="G17" s="83">
        <f>(F17-E17)+(Q17-P17)</f>
        <v>9.7222222222222224e-03</v>
      </c>
      <c r="H17" s="38">
        <v>0</v>
      </c>
      <c r="I17" s="83">
        <v>7.2916666666666668e-03</v>
      </c>
      <c r="J17" s="83">
        <v>1.7361111111111112e-02</v>
      </c>
      <c r="K17" s="83">
        <f>(J17-I17)+(S17-R17)</f>
        <v>1.0069444444444445e-02</v>
      </c>
      <c r="L17" s="48"/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1531</v>
      </c>
      <c r="L18" s="88"/>
      <c r="M18" s="48"/>
      <c r="N18" s="38">
        <v>2</v>
      </c>
      <c r="O18" s="89">
        <v>1</v>
      </c>
      <c r="P18" s="72"/>
      <c r="S18" s="72"/>
    </row>
  </sheetData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1532</v>
      </c>
      <c r="B1" s="9" t="s">
        <v>1533</v>
      </c>
      <c r="C1" s="9" t="s">
        <v>1534</v>
      </c>
      <c r="D1" s="9" t="s">
        <v>1535</v>
      </c>
      <c r="E1" s="9" t="s">
        <v>1536</v>
      </c>
      <c r="F1" s="9" t="s">
        <v>1537</v>
      </c>
      <c r="G1" s="9" t="s">
        <v>1538</v>
      </c>
      <c r="H1" s="9" t="s">
        <v>1539</v>
      </c>
      <c r="I1" s="9" t="s">
        <v>1540</v>
      </c>
      <c r="J1" s="9" t="s">
        <v>1541</v>
      </c>
      <c r="K1" s="9" t="s">
        <v>1542</v>
      </c>
      <c r="L1" s="9" t="s">
        <v>1543</v>
      </c>
      <c r="M1" s="9" t="s">
        <v>1544</v>
      </c>
      <c r="N1" s="9" t="s">
        <v>1545</v>
      </c>
      <c r="O1" s="9" t="s">
        <v>1546</v>
      </c>
      <c r="P1" s="9" t="s">
        <v>1547</v>
      </c>
      <c r="Q1" s="9" t="s">
        <v>1548</v>
      </c>
      <c r="R1" s="9" t="s">
        <v>1549</v>
      </c>
      <c r="S1" s="9" t="s">
        <v>1550</v>
      </c>
    </row>
    <row r="2">
      <c r="A2" s="81">
        <v>1</v>
      </c>
      <c r="B2" s="48" t="s">
        <v>1551</v>
      </c>
      <c r="C2" s="83">
        <f>Sum(G2,K2)</f>
        <v>1.7361111111111112e-02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1552</v>
      </c>
      <c r="C3" s="83">
        <f>Sum(G3,K3)</f>
        <v>1.6319444444444445e-02</v>
      </c>
      <c r="D3" s="38">
        <v>0</v>
      </c>
      <c r="E3" s="83">
        <v>1.1111111111111112e-02</v>
      </c>
      <c r="F3" s="83">
        <v>1.7361111111111112e-02</v>
      </c>
      <c r="G3" s="83">
        <f>(F3-E3)+(Q3-P3)</f>
        <v>6.2500000000000003e-03</v>
      </c>
      <c r="H3" s="38">
        <v>1</v>
      </c>
      <c r="I3" s="83">
        <v>0</v>
      </c>
      <c r="J3" s="83">
        <v>1.0069444444444445e-02</v>
      </c>
      <c r="K3" s="83">
        <f>(J3-I3)+(S3-R3)</f>
        <v>1.0069444444444445e-02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4">
        <v>3</v>
      </c>
      <c r="B4" s="85" t="s">
        <v>1553</v>
      </c>
      <c r="C4" s="86">
        <f>Sum(G4,K4)</f>
        <v>0</v>
      </c>
      <c r="D4" s="96">
        <v>0</v>
      </c>
      <c r="E4" s="86">
        <v>0</v>
      </c>
      <c r="F4" s="86">
        <v>0</v>
      </c>
      <c r="G4" s="86">
        <f>(F4-E4)+(Q4-P4)</f>
        <v>0</v>
      </c>
      <c r="H4" s="96">
        <v>0</v>
      </c>
      <c r="I4" s="86">
        <v>0</v>
      </c>
      <c r="J4" s="86">
        <v>0</v>
      </c>
      <c r="K4" s="86">
        <f>(J4-I4)+(S4-R4)</f>
        <v>0</v>
      </c>
      <c r="L4" s="85"/>
      <c r="M4" s="85"/>
      <c r="N4" s="72"/>
      <c r="O4" s="96">
        <v>0</v>
      </c>
      <c r="P4" s="85"/>
      <c r="Q4" s="85"/>
      <c r="R4" s="85"/>
      <c r="S4" s="85"/>
    </row>
    <row r="5">
      <c r="A5" s="81">
        <v>4</v>
      </c>
      <c r="B5" s="48" t="s">
        <v>1554</v>
      </c>
      <c r="C5" s="83">
        <f>Sum(G5,K5)</f>
        <v>1.9791666666666666e-02</v>
      </c>
      <c r="D5" s="38">
        <v>1</v>
      </c>
      <c r="E5" s="83">
        <v>0</v>
      </c>
      <c r="F5" s="83">
        <v>1.1111111111111112e-02</v>
      </c>
      <c r="G5" s="83">
        <f>(F5-E5)+(Q5-P5)</f>
        <v>1.1111111111111112e-02</v>
      </c>
      <c r="H5" s="38">
        <v>1</v>
      </c>
      <c r="I5" s="83">
        <v>0</v>
      </c>
      <c r="J5" s="83">
        <v>8.6805555555555559e-03</v>
      </c>
      <c r="K5" s="83">
        <f>(J5-I5)+(S5-R5)</f>
        <v>8.6805555555555559e-03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1555</v>
      </c>
      <c r="C6" s="83">
        <f>Sum(G6,K6)</f>
        <v>4.8611111111111112e-03</v>
      </c>
      <c r="D6" s="38">
        <v>0</v>
      </c>
      <c r="E6" s="83">
        <v>0</v>
      </c>
      <c r="F6" s="83">
        <v>0</v>
      </c>
      <c r="G6" s="83">
        <f>(F6-E6)+(Q6-P6)</f>
        <v>0</v>
      </c>
      <c r="H6" s="38">
        <v>0</v>
      </c>
      <c r="I6" s="83">
        <v>1.2500000000000001e-02</v>
      </c>
      <c r="J6" s="83">
        <v>1.7361111111111112e-02</v>
      </c>
      <c r="K6" s="83">
        <f>(J6-I6)+(S6-R6)</f>
        <v>4.8611111111111112e-03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1556</v>
      </c>
      <c r="C7" s="83">
        <f>Sum(G7,K7)</f>
        <v>2.013888888888889e-02</v>
      </c>
      <c r="D7" s="38">
        <v>0</v>
      </c>
      <c r="E7" s="83">
        <v>9.7222222222222224e-03</v>
      </c>
      <c r="F7" s="83">
        <v>1.7361111111111112e-02</v>
      </c>
      <c r="G7" s="83">
        <f>(F7-E7)+(Q7-P7)</f>
        <v>7.6388888888888886e-03</v>
      </c>
      <c r="H7" s="38">
        <v>1</v>
      </c>
      <c r="I7" s="83">
        <v>0</v>
      </c>
      <c r="J7" s="83">
        <v>1.2500000000000001e-02</v>
      </c>
      <c r="K7" s="83">
        <f>(J7-I7)+(S7-R7)</f>
        <v>1.2500000000000001e-02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1557</v>
      </c>
      <c r="C8" s="83">
        <f>Sum(G8,K8)</f>
        <v>2.8472222222222222e-02</v>
      </c>
      <c r="D8" s="38">
        <v>1</v>
      </c>
      <c r="E8" s="83">
        <v>0</v>
      </c>
      <c r="F8" s="83">
        <v>1.1111111111111112e-02</v>
      </c>
      <c r="G8" s="83">
        <f>(F8-E8)+(Q8-P8)</f>
        <v>1.1111111111111112e-02</v>
      </c>
      <c r="H8" s="38">
        <v>1</v>
      </c>
      <c r="I8" s="83">
        <v>0</v>
      </c>
      <c r="J8" s="83">
        <v>1.7361111111111112e-02</v>
      </c>
      <c r="K8" s="83">
        <f>(J8-I8)+(S8-R8)</f>
        <v>1.7361111111111112e-02</v>
      </c>
      <c r="L8" s="38">
        <v>1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1558</v>
      </c>
      <c r="C9" s="83">
        <f>Sum(G9,K9)</f>
        <v>2.6041666666666668e-02</v>
      </c>
      <c r="D9" s="38">
        <v>1</v>
      </c>
      <c r="E9" s="83">
        <v>0</v>
      </c>
      <c r="F9" s="83">
        <v>1.7361111111111112e-02</v>
      </c>
      <c r="G9" s="83">
        <f>(F9-E9)+(Q9-P9)</f>
        <v>1.7361111111111112e-02</v>
      </c>
      <c r="H9" s="38">
        <v>0</v>
      </c>
      <c r="I9" s="83">
        <v>8.6805555555555559e-03</v>
      </c>
      <c r="J9" s="83">
        <v>1.7361111111111112e-02</v>
      </c>
      <c r="K9" s="83">
        <f>(J9-I9)+(S9-R9)</f>
        <v>8.6805555555555559e-03</v>
      </c>
      <c r="L9" s="38">
        <v>3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1559</v>
      </c>
      <c r="C10" s="83">
        <f>Sum(G10,K10)</f>
        <v>2.6041666666666668e-02</v>
      </c>
      <c r="D10" s="38">
        <v>1</v>
      </c>
      <c r="E10" s="83">
        <v>0</v>
      </c>
      <c r="F10" s="83">
        <v>1.7361111111111112e-02</v>
      </c>
      <c r="G10" s="83">
        <f>(F10-E10)+(Q10-P10)</f>
        <v>1.7361111111111112e-02</v>
      </c>
      <c r="H10" s="38">
        <v>0</v>
      </c>
      <c r="I10" s="83">
        <v>8.6805555555555559e-03</v>
      </c>
      <c r="J10" s="83">
        <v>1.7361111111111112e-02</v>
      </c>
      <c r="K10" s="83">
        <f>(J10-I10)+(S10-R10)</f>
        <v>8.6805555555555559e-03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4">
        <v>10</v>
      </c>
      <c r="B11" s="85" t="s">
        <v>1560</v>
      </c>
      <c r="C11" s="86">
        <f>Sum(G11,K11)</f>
        <v>0</v>
      </c>
      <c r="D11" s="96">
        <v>0</v>
      </c>
      <c r="E11" s="86">
        <v>0</v>
      </c>
      <c r="F11" s="86">
        <v>0</v>
      </c>
      <c r="G11" s="86">
        <f>(F11-E11)+(Q11-P11)</f>
        <v>0</v>
      </c>
      <c r="H11" s="96">
        <v>0</v>
      </c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96">
        <v>0</v>
      </c>
      <c r="P11" s="85"/>
      <c r="Q11" s="85"/>
      <c r="R11" s="85"/>
      <c r="S11" s="85"/>
    </row>
    <row r="12">
      <c r="A12" s="81">
        <v>11</v>
      </c>
      <c r="B12" s="48" t="s">
        <v>1561</v>
      </c>
      <c r="C12" s="83">
        <f>Sum(G12,K12)</f>
        <v>1.7361111111111112e-02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0</v>
      </c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1">
        <v>12</v>
      </c>
      <c r="B13" s="48" t="s">
        <v>1562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38">
        <v>1</v>
      </c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1563</v>
      </c>
      <c r="C14" s="83">
        <f>Sum(G14,K14)</f>
        <v>1.8402777777777778e-02</v>
      </c>
      <c r="D14" s="38">
        <v>1</v>
      </c>
      <c r="E14" s="83">
        <v>0</v>
      </c>
      <c r="F14" s="83">
        <v>9.7222222222222224e-03</v>
      </c>
      <c r="G14" s="83">
        <f>(F14-E14)+(Q14-P14)</f>
        <v>9.7222222222222224e-03</v>
      </c>
      <c r="H14" s="38">
        <v>1</v>
      </c>
      <c r="I14" s="83">
        <v>0</v>
      </c>
      <c r="J14" s="83">
        <v>8.6805555555555559e-03</v>
      </c>
      <c r="K14" s="83">
        <f>(J14-I14)+(S14-R14)</f>
        <v>8.6805555555555559e-03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1564</v>
      </c>
      <c r="C15" s="83">
        <f>Sum(G15,K15)</f>
        <v>1.2152777777777778e-02</v>
      </c>
      <c r="D15" s="38">
        <v>0</v>
      </c>
      <c r="E15" s="83">
        <v>1.1111111111111112e-02</v>
      </c>
      <c r="F15" s="83">
        <v>1.7361111111111112e-02</v>
      </c>
      <c r="G15" s="83">
        <f>(F15-E15)+(Q15-P15)</f>
        <v>6.2500000000000003e-03</v>
      </c>
      <c r="H15" s="38">
        <v>0</v>
      </c>
      <c r="I15" s="83">
        <v>1.0069444444444445e-02</v>
      </c>
      <c r="J15" s="83">
        <v>1.5972222222222221e-02</v>
      </c>
      <c r="K15" s="83">
        <f>(J15-I15)+(S15-R15)</f>
        <v>5.9027777777777776e-03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1565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1566</v>
      </c>
      <c r="C17" s="83">
        <f>Sum(G17,K17)</f>
        <v>1.3888888888888889e-03</v>
      </c>
      <c r="D17" s="38">
        <v>0</v>
      </c>
      <c r="E17" s="83">
        <v>0</v>
      </c>
      <c r="F17" s="83">
        <v>0</v>
      </c>
      <c r="G17" s="83">
        <f>(F17-E17)+(Q17-P17)</f>
        <v>0</v>
      </c>
      <c r="H17" s="38">
        <v>0</v>
      </c>
      <c r="I17" s="83">
        <v>1.5972222222222221e-02</v>
      </c>
      <c r="J17" s="83">
        <v>1.7361111111111112e-02</v>
      </c>
      <c r="K17" s="83">
        <f>(J17-I17)+(S17-R17)</f>
        <v>1.3888888888888889e-03</v>
      </c>
      <c r="L17" s="38">
        <v>1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K18" s="87" t="s">
        <v>1567</v>
      </c>
      <c r="L18" s="88"/>
      <c r="M18" s="48"/>
      <c r="N18" s="38">
        <v>4</v>
      </c>
      <c r="O18" s="89">
        <v>1</v>
      </c>
      <c r="P18" s="72"/>
      <c r="S18" s="72"/>
    </row>
  </sheetData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1568</v>
      </c>
      <c r="B1" s="9" t="s">
        <v>1569</v>
      </c>
      <c r="C1" s="9" t="s">
        <v>1570</v>
      </c>
      <c r="D1" s="9" t="s">
        <v>1571</v>
      </c>
      <c r="E1" s="9" t="s">
        <v>1572</v>
      </c>
      <c r="F1" s="9" t="s">
        <v>1573</v>
      </c>
      <c r="G1" s="9" t="s">
        <v>1574</v>
      </c>
      <c r="H1" s="9" t="s">
        <v>1575</v>
      </c>
      <c r="I1" s="9" t="s">
        <v>1576</v>
      </c>
      <c r="J1" s="9" t="s">
        <v>1577</v>
      </c>
      <c r="K1" s="9" t="s">
        <v>1578</v>
      </c>
      <c r="L1" s="9" t="s">
        <v>1579</v>
      </c>
      <c r="M1" s="9" t="s">
        <v>1580</v>
      </c>
      <c r="N1" s="9" t="s">
        <v>1581</v>
      </c>
      <c r="O1" s="9" t="s">
        <v>1582</v>
      </c>
      <c r="P1" s="9" t="s">
        <v>1583</v>
      </c>
      <c r="Q1" s="9" t="s">
        <v>1584</v>
      </c>
      <c r="R1" s="9" t="s">
        <v>1585</v>
      </c>
      <c r="S1" s="9" t="s">
        <v>1586</v>
      </c>
    </row>
    <row r="2">
      <c r="A2" s="81">
        <v>1</v>
      </c>
      <c r="B2" s="48" t="s">
        <v>1587</v>
      </c>
      <c r="C2" s="83">
        <f>Sum(G2,K2)</f>
        <v>1.7361111111111112e-02</v>
      </c>
      <c r="D2" s="38">
        <v>0</v>
      </c>
      <c r="E2" s="83">
        <v>0</v>
      </c>
      <c r="F2" s="83">
        <v>0</v>
      </c>
      <c r="G2" s="83">
        <f>(F2-E2)+(Q2-P2)</f>
        <v>0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4">
        <v>2</v>
      </c>
      <c r="B3" s="85" t="s">
        <v>1588</v>
      </c>
      <c r="C3" s="86">
        <f>Sum(G3,K3)</f>
        <v>0</v>
      </c>
      <c r="D3" s="85"/>
      <c r="E3" s="86">
        <v>0</v>
      </c>
      <c r="F3" s="86">
        <v>0</v>
      </c>
      <c r="G3" s="86">
        <f>(F3-E3)+(Q3-P3)</f>
        <v>0</v>
      </c>
      <c r="H3" s="85"/>
      <c r="I3" s="86">
        <v>0</v>
      </c>
      <c r="J3" s="86">
        <v>0</v>
      </c>
      <c r="K3" s="86">
        <f>(J3-I3)+(S3-R3)</f>
        <v>0</v>
      </c>
      <c r="L3" s="85"/>
      <c r="M3" s="85"/>
      <c r="N3" s="72"/>
      <c r="O3" s="85"/>
      <c r="P3" s="85"/>
      <c r="Q3" s="85"/>
      <c r="R3" s="85"/>
      <c r="S3" s="85"/>
    </row>
    <row r="4">
      <c r="A4" s="81">
        <v>3</v>
      </c>
      <c r="B4" s="48" t="s">
        <v>1589</v>
      </c>
      <c r="C4" s="83">
        <f>Sum(G4,K4)</f>
        <v>3.4722222222222224e-02</v>
      </c>
      <c r="D4" s="38">
        <v>1</v>
      </c>
      <c r="E4" s="83">
        <v>0</v>
      </c>
      <c r="F4" s="83">
        <v>1.7361111111111112e-02</v>
      </c>
      <c r="G4" s="83">
        <f>(F4-E4)+(Q4-P4)</f>
        <v>1.7361111111111112e-02</v>
      </c>
      <c r="H4" s="38">
        <v>1</v>
      </c>
      <c r="I4" s="83">
        <v>0</v>
      </c>
      <c r="J4" s="83">
        <v>1.7361111111111112e-02</v>
      </c>
      <c r="K4" s="83">
        <f>(J4-I4)+(S4-R4)</f>
        <v>1.7361111111111112e-02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4">
        <v>4</v>
      </c>
      <c r="B5" s="85" t="s">
        <v>1590</v>
      </c>
      <c r="C5" s="86">
        <f>Sum(G5,K5)</f>
        <v>0</v>
      </c>
      <c r="D5" s="85"/>
      <c r="E5" s="86">
        <v>0</v>
      </c>
      <c r="F5" s="86">
        <v>0</v>
      </c>
      <c r="G5" s="86">
        <f>(F5-E5)+(Q5-P5)</f>
        <v>0</v>
      </c>
      <c r="H5" s="85"/>
      <c r="I5" s="86">
        <v>0</v>
      </c>
      <c r="J5" s="86">
        <v>0</v>
      </c>
      <c r="K5" s="86">
        <f>(J5-I5)+(S5-R5)</f>
        <v>0</v>
      </c>
      <c r="L5" s="85"/>
      <c r="M5" s="85"/>
      <c r="N5" s="72"/>
      <c r="O5" s="85"/>
      <c r="P5" s="85"/>
      <c r="Q5" s="85"/>
      <c r="R5" s="85"/>
      <c r="S5" s="85"/>
    </row>
    <row r="6">
      <c r="A6" s="81">
        <v>5</v>
      </c>
      <c r="B6" s="48" t="s">
        <v>1591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1592</v>
      </c>
      <c r="C7" s="83">
        <f>Sum(G7,K7)</f>
        <v>1.5972222222222221e-02</v>
      </c>
      <c r="D7" s="38">
        <v>0</v>
      </c>
      <c r="E7" s="83">
        <v>9.0277777777777769e-03</v>
      </c>
      <c r="F7" s="83">
        <v>1.7361111111111112e-02</v>
      </c>
      <c r="G7" s="83">
        <f>(F7-E7)+(Q7-P7)</f>
        <v>8.3333333333333332e-03</v>
      </c>
      <c r="H7" s="38">
        <v>0</v>
      </c>
      <c r="I7" s="83">
        <v>9.7222222222222224e-03</v>
      </c>
      <c r="J7" s="83">
        <v>1.7361111111111112e-02</v>
      </c>
      <c r="K7" s="83">
        <f>(J7-I7)+(S7-R7)</f>
        <v>7.6388888888888886e-03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1593</v>
      </c>
      <c r="C8" s="83">
        <f>Sum(G8,K8)</f>
        <v>3.1944444444444442e-02</v>
      </c>
      <c r="D8" s="38">
        <v>1</v>
      </c>
      <c r="E8" s="83">
        <v>0</v>
      </c>
      <c r="F8" s="83">
        <v>1.7361111111111112e-02</v>
      </c>
      <c r="G8" s="83">
        <f>(F8-E8)+(Q8-P8)</f>
        <v>1.7361111111111112e-02</v>
      </c>
      <c r="H8" s="38">
        <v>1</v>
      </c>
      <c r="I8" s="83">
        <v>0</v>
      </c>
      <c r="J8" s="83">
        <v>1.4583333333333334e-02</v>
      </c>
      <c r="K8" s="83">
        <f>(J8-I8)+(S8-R8)</f>
        <v>1.4583333333333334e-02</v>
      </c>
      <c r="L8" s="38">
        <v>2</v>
      </c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1594</v>
      </c>
      <c r="C9" s="83">
        <f>Sum(G9,K9)</f>
        <v>3.125e-02</v>
      </c>
      <c r="D9" s="38">
        <v>1</v>
      </c>
      <c r="E9" s="83">
        <v>0</v>
      </c>
      <c r="F9" s="83">
        <v>1.7361111111111112e-02</v>
      </c>
      <c r="G9" s="83">
        <f>(F9-E9)+(Q9-P9)</f>
        <v>1.7361111111111112e-02</v>
      </c>
      <c r="H9" s="38">
        <v>1</v>
      </c>
      <c r="I9" s="83">
        <v>0</v>
      </c>
      <c r="J9" s="83">
        <v>1.3888888888888888e-02</v>
      </c>
      <c r="K9" s="83">
        <f>(J9-I9)+(S9-R9)</f>
        <v>1.3888888888888888e-02</v>
      </c>
      <c r="L9" s="38">
        <v>1</v>
      </c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1595</v>
      </c>
      <c r="C10" s="83">
        <f>Sum(G10,K10)</f>
        <v>1.4930555555555556e-02</v>
      </c>
      <c r="D10" s="38">
        <v>0</v>
      </c>
      <c r="E10" s="83">
        <v>1.0069444444444445e-02</v>
      </c>
      <c r="F10" s="83">
        <v>1.7361111111111112e-02</v>
      </c>
      <c r="G10" s="83">
        <f>(F10-E10)+(Q10-P10)</f>
        <v>7.2916666666666668e-03</v>
      </c>
      <c r="H10" s="38">
        <v>0</v>
      </c>
      <c r="I10" s="83">
        <v>9.7222222222222224e-03</v>
      </c>
      <c r="J10" s="83">
        <v>1.7361111111111112e-02</v>
      </c>
      <c r="K10" s="83">
        <f>(J10-I10)+(S10-R10)</f>
        <v>7.6388888888888886e-03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4">
        <v>10</v>
      </c>
      <c r="B11" s="85" t="s">
        <v>1596</v>
      </c>
      <c r="C11" s="86">
        <f>Sum(G11,K11)</f>
        <v>0</v>
      </c>
      <c r="D11" s="85"/>
      <c r="E11" s="86">
        <v>0</v>
      </c>
      <c r="F11" s="86">
        <v>0</v>
      </c>
      <c r="G11" s="86">
        <f>(F11-E11)+(Q11-P11)</f>
        <v>0</v>
      </c>
      <c r="H11" s="85"/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85"/>
      <c r="P11" s="85"/>
      <c r="Q11" s="85"/>
      <c r="R11" s="85"/>
      <c r="S11" s="85"/>
    </row>
    <row r="12">
      <c r="A12" s="81">
        <v>11</v>
      </c>
      <c r="B12" s="48" t="s">
        <v>1597</v>
      </c>
      <c r="C12" s="83">
        <f>Sum(G12,K12)</f>
        <v>1.7361111111111112e-02</v>
      </c>
      <c r="D12" s="38">
        <v>1</v>
      </c>
      <c r="E12" s="83">
        <v>0</v>
      </c>
      <c r="F12" s="83">
        <v>1.7361111111111112e-02</v>
      </c>
      <c r="G12" s="83">
        <f>(F12-E12)+(Q12-P12)</f>
        <v>1.7361111111111112e-02</v>
      </c>
      <c r="H12" s="38">
        <v>0</v>
      </c>
      <c r="I12" s="83">
        <v>0</v>
      </c>
      <c r="J12" s="83">
        <v>0</v>
      </c>
      <c r="K12" s="83">
        <f>(J12-I12)+(S12-R12)</f>
        <v>0</v>
      </c>
      <c r="L12" s="48"/>
      <c r="M12" s="48"/>
      <c r="N12" s="72"/>
      <c r="O12" s="38">
        <v>1</v>
      </c>
      <c r="P12" s="48"/>
      <c r="Q12" s="48"/>
      <c r="R12" s="48"/>
      <c r="S12" s="48"/>
    </row>
    <row r="13">
      <c r="A13" s="84">
        <v>12</v>
      </c>
      <c r="B13" s="85" t="s">
        <v>1598</v>
      </c>
      <c r="C13" s="86">
        <f>Sum(G13,K13)</f>
        <v>0</v>
      </c>
      <c r="D13" s="85"/>
      <c r="E13" s="86">
        <v>0</v>
      </c>
      <c r="F13" s="86">
        <v>0</v>
      </c>
      <c r="G13" s="86">
        <f>(F13-E13)+(Q13-P13)</f>
        <v>0</v>
      </c>
      <c r="H13" s="85"/>
      <c r="I13" s="86">
        <v>0</v>
      </c>
      <c r="J13" s="86">
        <v>0</v>
      </c>
      <c r="K13" s="86">
        <f>(J13-I13)+(S13-R13)</f>
        <v>0</v>
      </c>
      <c r="L13" s="85"/>
      <c r="M13" s="85"/>
      <c r="N13" s="72"/>
      <c r="O13" s="85"/>
      <c r="P13" s="85"/>
      <c r="Q13" s="85"/>
      <c r="R13" s="85"/>
      <c r="S13" s="85"/>
    </row>
    <row r="14">
      <c r="A14" s="81">
        <v>15</v>
      </c>
      <c r="B14" s="48" t="s">
        <v>1599</v>
      </c>
      <c r="C14" s="83">
        <f>Sum(G14,K14)</f>
        <v>2.1527777777777778e-02</v>
      </c>
      <c r="D14" s="38">
        <v>1</v>
      </c>
      <c r="E14" s="83">
        <v>0</v>
      </c>
      <c r="F14" s="83">
        <v>9.0277777777777769e-03</v>
      </c>
      <c r="G14" s="83">
        <f>(F14-E14)+(Q14-P14)</f>
        <v>9.0277777777777769e-03</v>
      </c>
      <c r="H14" s="38">
        <v>1</v>
      </c>
      <c r="I14" s="83">
        <v>0</v>
      </c>
      <c r="J14" s="83">
        <v>9.7222222222222224e-03</v>
      </c>
      <c r="K14" s="83">
        <f>(J14-I14)+(S14-R14)</f>
        <v>1.2500000000000001e-02</v>
      </c>
      <c r="L14" s="48"/>
      <c r="M14" s="48"/>
      <c r="N14" s="72"/>
      <c r="O14" s="38">
        <v>1</v>
      </c>
      <c r="P14" s="48"/>
      <c r="Q14" s="48"/>
      <c r="R14" s="83">
        <v>1.4583333333333334e-02</v>
      </c>
      <c r="S14" s="83">
        <v>1.7361111111111112e-02</v>
      </c>
    </row>
    <row r="15">
      <c r="A15" s="84">
        <v>16</v>
      </c>
      <c r="B15" s="85" t="s">
        <v>1600</v>
      </c>
      <c r="C15" s="86">
        <f>Sum(G15,K15)</f>
        <v>0</v>
      </c>
      <c r="D15" s="85"/>
      <c r="E15" s="86">
        <v>0</v>
      </c>
      <c r="F15" s="86">
        <v>0</v>
      </c>
      <c r="G15" s="86">
        <f>(F15-E15)+(Q15-P15)</f>
        <v>0</v>
      </c>
      <c r="H15" s="85"/>
      <c r="I15" s="86">
        <v>0</v>
      </c>
      <c r="J15" s="86">
        <v>0</v>
      </c>
      <c r="K15" s="86">
        <f>(J15-I15)+(S15-R15)</f>
        <v>0</v>
      </c>
      <c r="L15" s="85"/>
      <c r="M15" s="85"/>
      <c r="N15" s="72"/>
      <c r="O15" s="85"/>
      <c r="P15" s="85"/>
      <c r="Q15" s="85"/>
      <c r="R15" s="85"/>
      <c r="S15" s="85"/>
    </row>
    <row r="16">
      <c r="A16" s="81">
        <v>20</v>
      </c>
      <c r="B16" s="48" t="s">
        <v>1601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1602</v>
      </c>
      <c r="C17" s="83">
        <f>Sum(G17,K17)</f>
        <v>2.326388888888889e-02</v>
      </c>
      <c r="D17" s="38">
        <v>1</v>
      </c>
      <c r="E17" s="83">
        <v>0</v>
      </c>
      <c r="F17" s="83">
        <v>1.0069444444444445e-02</v>
      </c>
      <c r="G17" s="83">
        <f>(F17-E17)+(Q17-P17)</f>
        <v>1.0069444444444445e-02</v>
      </c>
      <c r="H17" s="38">
        <v>1</v>
      </c>
      <c r="I17" s="83">
        <v>0</v>
      </c>
      <c r="J17" s="83">
        <v>9.7222222222222224e-03</v>
      </c>
      <c r="K17" s="83">
        <f>(J17-I17)+(S17-R17)</f>
        <v>1.3194444444444444e-02</v>
      </c>
      <c r="L17" s="38">
        <v>1</v>
      </c>
      <c r="M17" s="48"/>
      <c r="N17" s="72"/>
      <c r="O17" s="38">
        <v>1</v>
      </c>
      <c r="P17" s="48"/>
      <c r="Q17" s="48"/>
      <c r="R17" s="83">
        <v>1.3888888888888888e-02</v>
      </c>
      <c r="S17" s="83">
        <v>1.7361111111111112e-02</v>
      </c>
    </row>
    <row r="18">
      <c r="A18" s="27"/>
      <c r="B18" s="48"/>
      <c r="C18" s="72"/>
      <c r="K18" s="87" t="s">
        <v>1603</v>
      </c>
      <c r="L18" s="88"/>
      <c r="M18" s="48"/>
      <c r="N18" s="38">
        <v>0</v>
      </c>
      <c r="O18" s="89">
        <v>1</v>
      </c>
      <c r="P18" s="72"/>
      <c r="S18" s="72"/>
    </row>
  </sheetData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/>
  <sheetViews>
    <sheetView workbookViewId="0"/>
  </sheetViews>
  <sheetFormatPr defaultRowHeight="15"/>
  <cols>
    <col customWidth="1" min="1" max="1" width="7.7615999999999996"/>
    <col customWidth="1" min="2" max="2" width="10.486000000000001"/>
    <col customWidth="1" min="3" max="3" width="14.994"/>
    <col customWidth="1" min="4" max="4" width="12.769399999999999"/>
    <col customWidth="1" min="5" max="5" width="13.180999999999999"/>
    <col customWidth="1" min="6" max="6" width="13.180999999999999"/>
    <col customWidth="1" min="7" max="7" width="8.7416"/>
    <col customWidth="1" min="8" max="8" width="12.5342"/>
    <col customWidth="1" min="9" max="9" width="14.200200000000001"/>
    <col customWidth="1" min="10" max="10" width="13.2202"/>
    <col customWidth="1" min="11" max="11" width="8.4573999999999998"/>
    <col customWidth="1" min="12" max="12" width="5.782"/>
    <col customWidth="1" min="13" max="13" width="10.7408"/>
    <col customWidth="1" min="14" max="14" width="8.7416"/>
    <col customWidth="1" min="15" max="15" width="7.1932"/>
    <col customWidth="1" min="16" max="16" width="10.005800000000001"/>
    <col customWidth="1" min="17" max="17" width="8.7024000000000008"/>
    <col customWidth="1" min="18" max="18" width="8.7024000000000008"/>
    <col customWidth="1" min="19" max="19" width="8.7024000000000008"/>
    <col customWidth="1" min="20" max="1024" width="8.7024000000000008"/>
  </cols>
  <sheetData>
    <row r="1">
      <c r="A1" s="9" t="s">
        <v>1604</v>
      </c>
      <c r="B1" s="9" t="s">
        <v>1605</v>
      </c>
      <c r="C1" s="9" t="s">
        <v>1606</v>
      </c>
      <c r="D1" s="9" t="s">
        <v>1607</v>
      </c>
      <c r="E1" s="9" t="s">
        <v>1608</v>
      </c>
      <c r="F1" s="9" t="s">
        <v>1609</v>
      </c>
      <c r="G1" s="9" t="s">
        <v>1610</v>
      </c>
      <c r="H1" s="9" t="s">
        <v>1611</v>
      </c>
      <c r="I1" s="9" t="s">
        <v>1612</v>
      </c>
      <c r="J1" s="9" t="s">
        <v>1613</v>
      </c>
      <c r="K1" s="9" t="s">
        <v>1614</v>
      </c>
      <c r="L1" s="9" t="s">
        <v>1615</v>
      </c>
      <c r="M1" s="9" t="s">
        <v>1616</v>
      </c>
      <c r="N1" s="9" t="s">
        <v>1617</v>
      </c>
      <c r="O1" s="9" t="s">
        <v>1618</v>
      </c>
      <c r="P1" s="9" t="s">
        <v>1619</v>
      </c>
      <c r="Q1" s="9" t="s">
        <v>1620</v>
      </c>
      <c r="R1" s="9" t="s">
        <v>1621</v>
      </c>
      <c r="S1" s="9" t="s">
        <v>1622</v>
      </c>
    </row>
    <row r="2">
      <c r="A2" s="81">
        <v>1</v>
      </c>
      <c r="B2" s="48" t="s">
        <v>1623</v>
      </c>
      <c r="C2" s="83">
        <f>Sum(G2,K2)</f>
        <v>3.4722222222222224e-02</v>
      </c>
      <c r="D2" s="38">
        <v>1</v>
      </c>
      <c r="E2" s="83">
        <v>0</v>
      </c>
      <c r="F2" s="83">
        <v>1.7361111111111112e-02</v>
      </c>
      <c r="G2" s="83">
        <f>(F2-E2)+(Q2-P2)</f>
        <v>1.7361111111111112e-02</v>
      </c>
      <c r="H2" s="38">
        <v>1</v>
      </c>
      <c r="I2" s="83">
        <v>0</v>
      </c>
      <c r="J2" s="83">
        <v>1.7361111111111112e-02</v>
      </c>
      <c r="K2" s="83">
        <f>(J2-I2)+(S2-R2)</f>
        <v>1.7361111111111112e-02</v>
      </c>
      <c r="L2" s="48"/>
      <c r="M2" s="48"/>
      <c r="N2" s="48"/>
      <c r="O2" s="38">
        <v>1</v>
      </c>
      <c r="P2" s="48"/>
      <c r="Q2" s="48"/>
      <c r="R2" s="48"/>
      <c r="S2" s="48"/>
    </row>
    <row r="3">
      <c r="A3" s="81">
        <v>2</v>
      </c>
      <c r="B3" s="48" t="s">
        <v>1624</v>
      </c>
      <c r="C3" s="83">
        <f>Sum(G3,K3)</f>
        <v>7.6388888888888886e-03</v>
      </c>
      <c r="D3" s="38">
        <v>0</v>
      </c>
      <c r="E3" s="83">
        <v>0</v>
      </c>
      <c r="F3" s="83">
        <v>0</v>
      </c>
      <c r="G3" s="83">
        <f>(F3-E3)+(Q3-P3)</f>
        <v>0</v>
      </c>
      <c r="H3" s="38">
        <v>1</v>
      </c>
      <c r="I3" s="83">
        <v>0</v>
      </c>
      <c r="J3" s="83">
        <v>7.6388888888888886e-03</v>
      </c>
      <c r="K3" s="83">
        <f>(J3-I3)+(S3-R3)</f>
        <v>7.6388888888888886e-03</v>
      </c>
      <c r="L3" s="48"/>
      <c r="M3" s="48"/>
      <c r="N3" s="72"/>
      <c r="O3" s="38">
        <v>1</v>
      </c>
      <c r="P3" s="48"/>
      <c r="Q3" s="48"/>
      <c r="R3" s="48"/>
      <c r="S3" s="48"/>
    </row>
    <row r="4">
      <c r="A4" s="81">
        <v>3</v>
      </c>
      <c r="B4" s="48" t="s">
        <v>1625</v>
      </c>
      <c r="C4" s="83">
        <f>Sum(G4,K4)</f>
        <v>1.8749999999999999e-02</v>
      </c>
      <c r="D4" s="38">
        <v>1</v>
      </c>
      <c r="E4" s="83">
        <v>0</v>
      </c>
      <c r="F4" s="83">
        <v>1.2500000000000001e-02</v>
      </c>
      <c r="G4" s="83">
        <f>(F4-E4)+(Q4-P4)</f>
        <v>1.2500000000000001e-02</v>
      </c>
      <c r="H4" s="38">
        <v>1</v>
      </c>
      <c r="I4" s="83">
        <v>0</v>
      </c>
      <c r="J4" s="83">
        <v>6.2500000000000003e-03</v>
      </c>
      <c r="K4" s="83">
        <f>(J4-I4)+(S4-R4)</f>
        <v>6.2500000000000003e-03</v>
      </c>
      <c r="L4" s="48"/>
      <c r="M4" s="48"/>
      <c r="N4" s="72"/>
      <c r="O4" s="38">
        <v>1</v>
      </c>
      <c r="P4" s="48"/>
      <c r="Q4" s="48"/>
      <c r="R4" s="48"/>
      <c r="S4" s="48"/>
    </row>
    <row r="5">
      <c r="A5" s="81">
        <v>4</v>
      </c>
      <c r="B5" s="48" t="s">
        <v>1626</v>
      </c>
      <c r="C5" s="83">
        <f>Sum(G5,K5)</f>
        <v>1.1111111111111112e-02</v>
      </c>
      <c r="D5" s="38">
        <v>0</v>
      </c>
      <c r="E5" s="83">
        <v>0</v>
      </c>
      <c r="F5" s="83">
        <v>0</v>
      </c>
      <c r="G5" s="83">
        <f>(F5-E5)+(Q5-P5)</f>
        <v>0</v>
      </c>
      <c r="H5" s="38">
        <v>0</v>
      </c>
      <c r="I5" s="83">
        <v>6.2500000000000003e-03</v>
      </c>
      <c r="J5" s="83">
        <v>1.7361111111111112e-02</v>
      </c>
      <c r="K5" s="83">
        <f>(J5-I5)+(S5-R5)</f>
        <v>1.1111111111111112e-02</v>
      </c>
      <c r="L5" s="48"/>
      <c r="M5" s="48"/>
      <c r="N5" s="72"/>
      <c r="O5" s="38">
        <v>1</v>
      </c>
      <c r="P5" s="48"/>
      <c r="Q5" s="48"/>
      <c r="R5" s="48"/>
      <c r="S5" s="48"/>
    </row>
    <row r="6">
      <c r="A6" s="81">
        <v>5</v>
      </c>
      <c r="B6" s="48" t="s">
        <v>1627</v>
      </c>
      <c r="C6" s="83">
        <f>Sum(G6,K6)</f>
        <v>3.4722222222222224e-02</v>
      </c>
      <c r="D6" s="38">
        <v>1</v>
      </c>
      <c r="E6" s="83">
        <v>0</v>
      </c>
      <c r="F6" s="83">
        <v>1.7361111111111112e-02</v>
      </c>
      <c r="G6" s="83">
        <f>(F6-E6)+(Q6-P6)</f>
        <v>1.7361111111111112e-02</v>
      </c>
      <c r="H6" s="38">
        <v>1</v>
      </c>
      <c r="I6" s="83">
        <v>0</v>
      </c>
      <c r="J6" s="83">
        <v>1.7361111111111112e-02</v>
      </c>
      <c r="K6" s="83">
        <f>(J6-I6)+(S6-R6)</f>
        <v>1.7361111111111112e-02</v>
      </c>
      <c r="L6" s="48"/>
      <c r="M6" s="48"/>
      <c r="N6" s="72"/>
      <c r="O6" s="38">
        <v>1</v>
      </c>
      <c r="P6" s="48"/>
      <c r="Q6" s="48"/>
      <c r="R6" s="48"/>
      <c r="S6" s="48"/>
    </row>
    <row r="7">
      <c r="A7" s="81">
        <v>6</v>
      </c>
      <c r="B7" s="48" t="s">
        <v>1628</v>
      </c>
      <c r="C7" s="83">
        <f>Sum(G7,K7)</f>
        <v>1.0416666666666666e-02</v>
      </c>
      <c r="D7" s="38">
        <v>0</v>
      </c>
      <c r="E7" s="83">
        <v>1.2152777777777778e-02</v>
      </c>
      <c r="F7" s="83">
        <v>1.7361111111111112e-02</v>
      </c>
      <c r="G7" s="83">
        <f>(F7-E7)+(Q7-P7)</f>
        <v>5.208333333333333e-03</v>
      </c>
      <c r="H7" s="38">
        <v>0</v>
      </c>
      <c r="I7" s="83">
        <v>1.2152777777777778e-02</v>
      </c>
      <c r="J7" s="83">
        <v>1.7361111111111112e-02</v>
      </c>
      <c r="K7" s="83">
        <f>(J7-I7)+(S7-R7)</f>
        <v>5.208333333333333e-03</v>
      </c>
      <c r="L7" s="48"/>
      <c r="M7" s="48"/>
      <c r="N7" s="72"/>
      <c r="O7" s="38">
        <v>1</v>
      </c>
      <c r="P7" s="48"/>
      <c r="Q7" s="48"/>
      <c r="R7" s="48"/>
      <c r="S7" s="48"/>
    </row>
    <row r="8">
      <c r="A8" s="81">
        <v>7</v>
      </c>
      <c r="B8" s="48" t="s">
        <v>1629</v>
      </c>
      <c r="C8" s="83">
        <f>Sum(G8,K8)</f>
        <v>2.361111111111111e-02</v>
      </c>
      <c r="D8" s="38">
        <v>1</v>
      </c>
      <c r="E8" s="83">
        <v>0</v>
      </c>
      <c r="F8" s="83">
        <v>1.4583333333333334e-02</v>
      </c>
      <c r="G8" s="83">
        <f>(F8-E8)+(Q8-P8)</f>
        <v>1.4583333333333334e-02</v>
      </c>
      <c r="H8" s="38">
        <v>0</v>
      </c>
      <c r="I8" s="83">
        <v>7.6388888888888886e-03</v>
      </c>
      <c r="J8" s="83">
        <v>1.6666666666666666e-02</v>
      </c>
      <c r="K8" s="83">
        <f>(J8-I8)+(S8-R8)</f>
        <v>9.0277777777777769e-03</v>
      </c>
      <c r="L8" s="48"/>
      <c r="M8" s="48"/>
      <c r="N8" s="72"/>
      <c r="O8" s="38">
        <v>1</v>
      </c>
      <c r="P8" s="48"/>
      <c r="Q8" s="48"/>
      <c r="R8" s="48"/>
      <c r="S8" s="48"/>
    </row>
    <row r="9">
      <c r="A9" s="81">
        <v>8</v>
      </c>
      <c r="B9" s="48" t="s">
        <v>1630</v>
      </c>
      <c r="C9" s="83">
        <f>Sum(G9,K9)</f>
        <v>2.4305555555555556e-02</v>
      </c>
      <c r="D9" s="38">
        <v>1</v>
      </c>
      <c r="E9" s="83">
        <v>0</v>
      </c>
      <c r="F9" s="83">
        <v>1.2152777777777778e-02</v>
      </c>
      <c r="G9" s="83">
        <f>(F9-E9)+(Q9-P9)</f>
        <v>1.2152777777777778e-02</v>
      </c>
      <c r="H9" s="38">
        <v>1</v>
      </c>
      <c r="I9" s="83">
        <v>0</v>
      </c>
      <c r="J9" s="83">
        <v>1.2152777777777778e-02</v>
      </c>
      <c r="K9" s="83">
        <f>(J9-I9)+(S9-R9)</f>
        <v>1.2152777777777778e-02</v>
      </c>
      <c r="L9" s="48"/>
      <c r="M9" s="48"/>
      <c r="N9" s="72"/>
      <c r="O9" s="38">
        <v>1</v>
      </c>
      <c r="P9" s="48"/>
      <c r="Q9" s="48"/>
      <c r="R9" s="48"/>
      <c r="S9" s="48"/>
    </row>
    <row r="10">
      <c r="A10" s="81">
        <v>9</v>
      </c>
      <c r="B10" s="48" t="s">
        <v>1631</v>
      </c>
      <c r="C10" s="83">
        <f>Sum(G10,K10)</f>
        <v>4.8611111111111112e-03</v>
      </c>
      <c r="D10" s="38">
        <v>0</v>
      </c>
      <c r="E10" s="83">
        <v>1.2500000000000001e-02</v>
      </c>
      <c r="F10" s="83">
        <v>1.7361111111111112e-02</v>
      </c>
      <c r="G10" s="83">
        <f>(F10-E10)+(Q10-P10)</f>
        <v>4.8611111111111112e-03</v>
      </c>
      <c r="H10" s="38">
        <v>0</v>
      </c>
      <c r="I10" s="83">
        <v>0</v>
      </c>
      <c r="J10" s="83">
        <v>0</v>
      </c>
      <c r="K10" s="83">
        <f>(J10-I10)+(S10-R10)</f>
        <v>0</v>
      </c>
      <c r="L10" s="48"/>
      <c r="M10" s="48"/>
      <c r="N10" s="72"/>
      <c r="O10" s="38">
        <v>1</v>
      </c>
      <c r="P10" s="48"/>
      <c r="Q10" s="48"/>
      <c r="R10" s="48"/>
      <c r="S10" s="48"/>
    </row>
    <row r="11">
      <c r="A11" s="84">
        <v>10</v>
      </c>
      <c r="B11" s="85" t="s">
        <v>1632</v>
      </c>
      <c r="C11" s="86">
        <f>Sum(G11,K11)</f>
        <v>0</v>
      </c>
      <c r="D11" s="85"/>
      <c r="E11" s="86">
        <v>0</v>
      </c>
      <c r="F11" s="86">
        <v>0</v>
      </c>
      <c r="G11" s="86">
        <f>(F11-E11)+(Q11-P11)</f>
        <v>0</v>
      </c>
      <c r="H11" s="85"/>
      <c r="I11" s="86">
        <v>0</v>
      </c>
      <c r="J11" s="86">
        <v>0</v>
      </c>
      <c r="K11" s="86">
        <f>(J11-I11)+(S11-R11)</f>
        <v>0</v>
      </c>
      <c r="L11" s="85"/>
      <c r="M11" s="85"/>
      <c r="N11" s="72"/>
      <c r="O11" s="85"/>
      <c r="P11" s="85"/>
      <c r="Q11" s="85"/>
      <c r="R11" s="85"/>
      <c r="S11" s="85"/>
    </row>
    <row r="12">
      <c r="A12" s="84">
        <v>11</v>
      </c>
      <c r="B12" s="85" t="s">
        <v>1633</v>
      </c>
      <c r="C12" s="86">
        <f>Sum(G12,K12)</f>
        <v>0</v>
      </c>
      <c r="D12" s="96">
        <v>0</v>
      </c>
      <c r="E12" s="86">
        <v>0</v>
      </c>
      <c r="F12" s="86">
        <v>0</v>
      </c>
      <c r="G12" s="86">
        <f>(F12-E12)+(Q12-P12)</f>
        <v>0</v>
      </c>
      <c r="H12" s="96">
        <v>0</v>
      </c>
      <c r="I12" s="86">
        <v>0</v>
      </c>
      <c r="J12" s="86">
        <v>0</v>
      </c>
      <c r="K12" s="86">
        <f>(J12-I12)+(S12-R12)</f>
        <v>0</v>
      </c>
      <c r="L12" s="85"/>
      <c r="M12" s="85"/>
      <c r="N12" s="72"/>
      <c r="O12" s="96">
        <v>0</v>
      </c>
      <c r="P12" s="85"/>
      <c r="Q12" s="85"/>
      <c r="R12" s="85"/>
      <c r="S12" s="85"/>
    </row>
    <row r="13">
      <c r="A13" s="81">
        <v>12</v>
      </c>
      <c r="B13" s="48" t="s">
        <v>1634</v>
      </c>
      <c r="C13" s="83">
        <f>Sum(G13,K13)</f>
        <v>3.4722222222222224e-02</v>
      </c>
      <c r="D13" s="38">
        <v>1</v>
      </c>
      <c r="E13" s="83">
        <v>0</v>
      </c>
      <c r="F13" s="83">
        <v>1.7361111111111112e-02</v>
      </c>
      <c r="G13" s="83">
        <f>(F13-E13)+(Q13-P13)</f>
        <v>1.7361111111111112e-02</v>
      </c>
      <c r="H13" s="38">
        <v>1</v>
      </c>
      <c r="I13" s="83">
        <v>0</v>
      </c>
      <c r="J13" s="83">
        <v>1.7361111111111112e-02</v>
      </c>
      <c r="K13" s="83">
        <f>(J13-I13)+(S13-R13)</f>
        <v>1.7361111111111112e-02</v>
      </c>
      <c r="L13" s="48"/>
      <c r="M13" s="48"/>
      <c r="N13" s="72"/>
      <c r="O13" s="38">
        <v>1</v>
      </c>
      <c r="P13" s="48"/>
      <c r="Q13" s="48"/>
      <c r="R13" s="48"/>
      <c r="S13" s="48"/>
    </row>
    <row r="14">
      <c r="A14" s="81">
        <v>15</v>
      </c>
      <c r="B14" s="48" t="s">
        <v>1635</v>
      </c>
      <c r="C14" s="83">
        <f>Sum(G14,K14)</f>
        <v>8.3333333333333332e-03</v>
      </c>
      <c r="D14" s="38">
        <v>1</v>
      </c>
      <c r="E14" s="83">
        <v>0</v>
      </c>
      <c r="F14" s="83">
        <v>8.3333333333333332e-03</v>
      </c>
      <c r="G14" s="83">
        <f>(F14-E14)+(Q14-P14)</f>
        <v>8.3333333333333332e-03</v>
      </c>
      <c r="H14" s="38">
        <v>0</v>
      </c>
      <c r="I14" s="83">
        <v>0</v>
      </c>
      <c r="J14" s="83">
        <v>0</v>
      </c>
      <c r="K14" s="83">
        <f>(J14-I14)+(S14-R14)</f>
        <v>0</v>
      </c>
      <c r="L14" s="48"/>
      <c r="M14" s="48"/>
      <c r="N14" s="72"/>
      <c r="O14" s="38">
        <v>1</v>
      </c>
      <c r="P14" s="48"/>
      <c r="Q14" s="48"/>
      <c r="R14" s="48"/>
      <c r="S14" s="48"/>
    </row>
    <row r="15">
      <c r="A15" s="81">
        <v>16</v>
      </c>
      <c r="B15" s="48" t="s">
        <v>1636</v>
      </c>
      <c r="C15" s="83">
        <f>Sum(G15,K15)</f>
        <v>3.472222222222222e-03</v>
      </c>
      <c r="D15" s="38">
        <v>0</v>
      </c>
      <c r="E15" s="83">
        <v>1.4583333333333334e-02</v>
      </c>
      <c r="F15" s="83">
        <v>1.7361111111111112e-02</v>
      </c>
      <c r="G15" s="83">
        <f>(F15-E15)+(Q15-P15)</f>
        <v>2.7777777777777779e-03</v>
      </c>
      <c r="H15" s="38">
        <v>0</v>
      </c>
      <c r="I15" s="83">
        <v>1.6666666666666666e-02</v>
      </c>
      <c r="J15" s="83">
        <v>1.7361111111111112e-02</v>
      </c>
      <c r="K15" s="83">
        <f>(J15-I15)+(S15-R15)</f>
        <v>6.9444444444444447e-04</v>
      </c>
      <c r="L15" s="48"/>
      <c r="M15" s="48"/>
      <c r="N15" s="72"/>
      <c r="O15" s="38">
        <v>1</v>
      </c>
      <c r="P15" s="48"/>
      <c r="Q15" s="48"/>
      <c r="R15" s="48"/>
      <c r="S15" s="48"/>
    </row>
    <row r="16">
      <c r="A16" s="81">
        <v>20</v>
      </c>
      <c r="B16" s="48" t="s">
        <v>1637</v>
      </c>
      <c r="C16" s="83">
        <f>Sum(G16,K16)</f>
        <v>3.4722222222222224e-02</v>
      </c>
      <c r="D16" s="38">
        <v>1</v>
      </c>
      <c r="E16" s="83">
        <v>0</v>
      </c>
      <c r="F16" s="83">
        <v>1.7361111111111112e-02</v>
      </c>
      <c r="G16" s="83">
        <f>(F16-E16)+(Q16-P16)</f>
        <v>1.7361111111111112e-02</v>
      </c>
      <c r="H16" s="38">
        <v>1</v>
      </c>
      <c r="I16" s="83">
        <v>0</v>
      </c>
      <c r="J16" s="83">
        <v>1.7361111111111112e-02</v>
      </c>
      <c r="K16" s="83">
        <f>(J16-I16)+(S16-R16)</f>
        <v>1.7361111111111112e-02</v>
      </c>
      <c r="L16" s="48"/>
      <c r="M16" s="48"/>
      <c r="N16" s="72"/>
      <c r="O16" s="38">
        <v>1</v>
      </c>
      <c r="P16" s="48"/>
      <c r="Q16" s="48"/>
      <c r="R16" s="48"/>
      <c r="S16" s="48"/>
    </row>
    <row r="17">
      <c r="A17" s="81">
        <v>22</v>
      </c>
      <c r="B17" s="48" t="s">
        <v>1638</v>
      </c>
      <c r="C17" s="83">
        <f>Sum(G17,K17)</f>
        <v>2.6388888888888889e-02</v>
      </c>
      <c r="D17" s="38">
        <v>0</v>
      </c>
      <c r="E17" s="83">
        <v>8.3333333333333332e-03</v>
      </c>
      <c r="F17" s="83">
        <v>1.7361111111111112e-02</v>
      </c>
      <c r="G17" s="83">
        <f>(F17-E17)+(Q17-P17)</f>
        <v>9.0277777777777769e-03</v>
      </c>
      <c r="H17" s="38">
        <v>0</v>
      </c>
      <c r="I17" s="83">
        <v>0</v>
      </c>
      <c r="J17" s="83">
        <v>1.7361111111111112e-02</v>
      </c>
      <c r="K17" s="83">
        <f>(J17-I17)+(S17-R17)</f>
        <v>1.7361111111111112e-02</v>
      </c>
      <c r="L17" s="38">
        <v>2</v>
      </c>
      <c r="M17" s="48"/>
      <c r="N17" s="72"/>
      <c r="O17" s="38">
        <v>1</v>
      </c>
      <c r="P17" s="48"/>
      <c r="Q17" s="48"/>
      <c r="R17" s="48"/>
      <c r="S17" s="48"/>
    </row>
    <row r="18">
      <c r="A18" s="27"/>
      <c r="B18" s="48"/>
      <c r="C18" s="72"/>
      <c r="G18" s="92" t="s">
        <v>1639</v>
      </c>
      <c r="H18" s="93">
        <v>1</v>
      </c>
      <c r="I18" s="94" t="s">
        <v>1640</v>
      </c>
      <c r="J18" s="95"/>
      <c r="K18" s="87" t="s">
        <v>1641</v>
      </c>
      <c r="L18" s="88"/>
      <c r="M18" s="48"/>
      <c r="N18" s="38">
        <v>1</v>
      </c>
      <c r="O18" s="89">
        <v>1</v>
      </c>
      <c r="P18" s="72"/>
      <c r="S18" s="72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</cp:coreProperties>
</file>